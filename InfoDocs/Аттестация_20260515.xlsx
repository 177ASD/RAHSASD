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defaultThemeVersion="166925"/>
  <mc:AlternateContent xmlns:mc="http://schemas.openxmlformats.org/markup-compatibility/2006">
    <mc:Choice Requires="x15">
      <x15ac:absPath xmlns:x15ac="http://schemas.microsoft.com/office/spreadsheetml/2010/11/ac" url="D:\ASD_rosah\00_E\"/>
    </mc:Choice>
  </mc:AlternateContent>
  <xr:revisionPtr revIDLastSave="0" documentId="13_ncr:1_{E591A0E3-4824-4B0C-B29C-66B263D92090}" xr6:coauthVersionLast="47" xr6:coauthVersionMax="47" xr10:uidLastSave="{00000000-0000-0000-0000-000000000000}"/>
  <bookViews>
    <workbookView xWindow="-108" yWindow="-108" windowWidth="23256" windowHeight="13896" xr2:uid="{8A3A0309-37CC-4385-B18F-EA1D89B306A7}"/>
  </bookViews>
  <sheets>
    <sheet name="AttestDinamic" sheetId="1" r:id="rId1"/>
  </sheets>
  <externalReferences>
    <externalReference r:id="rId2"/>
  </externalReferences>
  <definedNames>
    <definedName name="_xlcn.WorksheetConnection_Аттестация_report_v2.xlsxТаблица31" hidden="1">[1]!Таблица3[#Data]</definedName>
    <definedName name="_xlcn.WorksheetConnection_Аттестация_report_v3.xlsxMainQuery2Source1" hidden="1">[1]!MainQuery2Source[#Data]</definedName>
    <definedName name="ExternalData_1" localSheetId="0" hidden="1">AttestDinamic!$B$9:$F$21</definedName>
    <definedName name="_xlnm.Print_Titles" localSheetId="0">AttestDinamic!$25:$25</definedName>
  </definedNames>
  <calcPr calcId="191029"/>
  <pivotCaches>
    <pivotCache cacheId="8" r:id="rId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inQuery2Source 1-d4694f49-7bba-481d-8e58-d6f42f621da2" name="MainQuery2Source 1" connection="WorksheetConnection_Аттестация_report_v3.xlsx!MainQuery2Source"/>
          <x15:modelTable id="Таблица3-f7e8afa3-0ab6-40ce-a342-6a26a739d565" name="Таблица3" connection="WorksheetConnection_Аттестация_report_v2.xlsx!Таблица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7" i="1" l="1"/>
  <c r="C5" i="1" a="1"/>
  <c r="C5" i="1" s="1"/>
  <c r="P3" i="1"/>
  <c r="M7" i="1"/>
  <c r="K7" i="1"/>
  <c r="P7" i="1"/>
  <c r="O7" i="1"/>
  <c r="N7" i="1"/>
  <c r="J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0EC54A-3CE9-43CA-9ECD-F412A409011D}" keepAlive="1" name="ThisWorkbookDataModel" description="Модель данных"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1CE389B-D1AD-414B-9779-B306B82BCA53}" name="WorksheetConnection_Аттестация_report_v2.xlsx!Таблица3" type="102" refreshedVersion="7" minRefreshableVersion="5">
    <extLst>
      <ext xmlns:x15="http://schemas.microsoft.com/office/spreadsheetml/2010/11/main" uri="{DE250136-89BD-433C-8126-D09CA5730AF9}">
        <x15:connection id="Таблица3-f7e8afa3-0ab6-40ce-a342-6a26a739d565">
          <x15:rangePr sourceName="_xlcn.WorksheetConnection_Аттестация_report_v2.xlsxТаблица31"/>
        </x15:connection>
      </ext>
    </extLst>
  </connection>
  <connection id="3" xr16:uid="{ED599E3B-4C92-4024-B30D-88FC4802861D}" name="WorksheetConnection_Аттестация_report_v3.xlsx!MainQuery2Source" type="102" refreshedVersion="7" minRefreshableVersion="5">
    <extLst>
      <ext xmlns:x15="http://schemas.microsoft.com/office/spreadsheetml/2010/11/main" uri="{DE250136-89BD-433C-8126-D09CA5730AF9}">
        <x15:connection id="MainQuery2Source 1-d4694f49-7bba-481d-8e58-d6f42f621da2">
          <x15:rangePr sourceName="_xlcn.WorksheetConnection_Аттестация_report_v3.xlsxMainQuery2Source1"/>
        </x15:connection>
      </ext>
    </extLst>
  </connection>
  <connection id="4" xr16:uid="{6C9200BD-5724-4C07-9021-1BAE5E84E93A}" keepAlive="1" name="Запрос — AttestDinamic" description="Соединение с запросом &quot;AttestDinamic&quot; в книге." type="5" refreshedVersion="7" background="1" saveData="1">
    <dbPr connection="Provider=Microsoft.Mashup.OleDb.1;Data Source=$Workbook$;Location=AttestDinamic;Extended Properties=&quot;&quot;" command="SELECT * FROM [AttestDinamic]"/>
  </connection>
  <connection id="5" xr16:uid="{0A400349-6934-4B4C-BF2D-F970B509E591}" keepAlive="1" name="Запрос — AttestDinamic_prevData" description="Соединение с запросом &quot;AttestDinamic_prevData&quot; в книге." type="5" refreshedVersion="0" background="1">
    <dbPr connection="Provider=Microsoft.Mashup.OleDb.1;Data Source=$Workbook$;Location=AttestDinamic_prevData;Extended Properties=&quot;&quot;" command="SELECT * FROM [AttestDinamic_prev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<sst xmlns="http://schemas.openxmlformats.org/spreadsheetml/2006/main" count="96" uniqueCount="96">
  <si>
    <t xml:space="preserve">АТТЕСТАЦИЯ НЕЗАВИСИМЫХ ЭКСПЕРТОВ </t>
  </si>
  <si>
    <t>*-красным выделены филиалы не имеющие дополнительных кандидатов</t>
  </si>
  <si>
    <t>Дата</t>
  </si>
  <si>
    <t>Всего</t>
  </si>
  <si>
    <t>Эксперты</t>
  </si>
  <si>
    <t>% экспертов</t>
  </si>
  <si>
    <t>Кандидаты</t>
  </si>
  <si>
    <t>Субъект
⤵
Филиал*</t>
  </si>
  <si>
    <t>Требуется экспертов</t>
  </si>
  <si>
    <t>Текущий баланс по субъектам</t>
  </si>
  <si>
    <t>Экспертов факт.</t>
  </si>
  <si>
    <t>Кандидатов факт.</t>
  </si>
  <si>
    <t>Филиалы с экспертами в штате.</t>
  </si>
  <si>
    <t>Кандидат снят</t>
  </si>
  <si>
    <t>Омская область</t>
  </si>
  <si>
    <t>Пензенская область</t>
  </si>
  <si>
    <t>Орловская область</t>
  </si>
  <si>
    <t>Приморский край</t>
  </si>
  <si>
    <t>Самарская область</t>
  </si>
  <si>
    <t>Липецкая область</t>
  </si>
  <si>
    <t>Тамбовская область</t>
  </si>
  <si>
    <t>Республика Мордовия</t>
  </si>
  <si>
    <t>Чувашская Республика</t>
  </si>
  <si>
    <t>Свердловская область</t>
  </si>
  <si>
    <t>Нижегородская область</t>
  </si>
  <si>
    <t>Воронежская область</t>
  </si>
  <si>
    <t>Алтайский край</t>
  </si>
  <si>
    <t>Кемеровская область</t>
  </si>
  <si>
    <t>Забайкальский край</t>
  </si>
  <si>
    <t>Красноярский край</t>
  </si>
  <si>
    <t>Республика Крым</t>
  </si>
  <si>
    <t>Брянская область</t>
  </si>
  <si>
    <t>Запорожская область</t>
  </si>
  <si>
    <t>Волгоградская область</t>
  </si>
  <si>
    <t>Ростовская область</t>
  </si>
  <si>
    <t>Новосибирская область</t>
  </si>
  <si>
    <t>Иркутская область</t>
  </si>
  <si>
    <t>Камчатский край</t>
  </si>
  <si>
    <t>Сахалинская область</t>
  </si>
  <si>
    <t>Курская область</t>
  </si>
  <si>
    <t>Калининградская область</t>
  </si>
  <si>
    <t>Новгородская область</t>
  </si>
  <si>
    <t>Ставропольский край</t>
  </si>
  <si>
    <t>Краснодарский край</t>
  </si>
  <si>
    <t>Калужская область</t>
  </si>
  <si>
    <t>Оренбургская область</t>
  </si>
  <si>
    <t>Томская область</t>
  </si>
  <si>
    <t>Мурманская область</t>
  </si>
  <si>
    <t>Тульская область</t>
  </si>
  <si>
    <t>Пермский край</t>
  </si>
  <si>
    <t>Республика Татарстан</t>
  </si>
  <si>
    <t>Белгородская область</t>
  </si>
  <si>
    <t>Республика Тыва</t>
  </si>
  <si>
    <t>Республика Северная Осетия - Алания</t>
  </si>
  <si>
    <t>Костромская область</t>
  </si>
  <si>
    <t>Вологодская область</t>
  </si>
  <si>
    <t>Астраханская область</t>
  </si>
  <si>
    <t>Республика Алтай</t>
  </si>
  <si>
    <t>Саратовская область</t>
  </si>
  <si>
    <t>Республика Дагестан</t>
  </si>
  <si>
    <t>Луганская Народная Республика</t>
  </si>
  <si>
    <t>Республика Марий Эл</t>
  </si>
  <si>
    <t>Магаданская область</t>
  </si>
  <si>
    <t>Ярославская область</t>
  </si>
  <si>
    <t>Москва</t>
  </si>
  <si>
    <t>Республика Башкортостан</t>
  </si>
  <si>
    <t>Московская область</t>
  </si>
  <si>
    <t>Кабардино-Балкарская Республика</t>
  </si>
  <si>
    <t>Херсонская область</t>
  </si>
  <si>
    <t>Республика Ингушетия</t>
  </si>
  <si>
    <t>Чеченская Республика</t>
  </si>
  <si>
    <t>Республика Адыгея</t>
  </si>
  <si>
    <t>Карачаево-Черкесская Республика</t>
  </si>
  <si>
    <t>Кировская область</t>
  </si>
  <si>
    <t>Тверская область</t>
  </si>
  <si>
    <t>Ленинградская область</t>
  </si>
  <si>
    <t>Ивановская область</t>
  </si>
  <si>
    <t>Донецкая Народная Республика</t>
  </si>
  <si>
    <t>Республика Калмыкия</t>
  </si>
  <si>
    <t>Владимирская область</t>
  </si>
  <si>
    <t>Республика Коми</t>
  </si>
  <si>
    <t>Тюменская область</t>
  </si>
  <si>
    <t>Республика Бурятия</t>
  </si>
  <si>
    <t>Ульяновская область</t>
  </si>
  <si>
    <t>Республика Карелия</t>
  </si>
  <si>
    <t>Республика Саха (Якутия)</t>
  </si>
  <si>
    <t>Рязанская область</t>
  </si>
  <si>
    <t>Архангельская область</t>
  </si>
  <si>
    <t>Курганская область</t>
  </si>
  <si>
    <t>Амурская область</t>
  </si>
  <si>
    <t>Республика Хакасия</t>
  </si>
  <si>
    <t>Псковская область</t>
  </si>
  <si>
    <t>Смоленская область</t>
  </si>
  <si>
    <t>Челябинская область</t>
  </si>
  <si>
    <t>Хабаровский край</t>
  </si>
  <si>
    <t>Общий итог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</si>
</sst>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quot;*&quot;"/>
    <numFmt numFmtId="165" formatCode="dd/mm/yy;@"/>
    <numFmt numFmtId="166" formatCode="[Color50]##0;[Color3]\-##0;[Color15]General"/>
    <numFmt numFmtId="167" formatCode=";;;"/>
  </numFmts>
  <fonts count="24" x14ac:knownFonts="1">
    <font>
      <sz val="11"/>
      <color theme="1"/>
      <name val="Calibri"/>
      <family val="2"/>
      <charset val="204"/>
      <scheme val="minor"/>
    </font>
    <font>
      <sz val="11"/>
      <color theme="1"/>
      <name val="Calibri"/>
      <family val="2"/>
      <charset val="204"/>
      <scheme val="minor"/>
    </font>
    <font>
      <sz val="11"/>
      <color theme="0" tint="-0.499984740745262"/>
      <name val="Century Gothic"/>
      <family val="2"/>
      <charset val="204"/>
    </font>
    <font>
      <b/>
      <sz val="18"/>
      <color theme="1" tint="0.39997558519241921"/>
      <name val="Century Gothic"/>
      <family val="2"/>
      <charset val="204"/>
    </font>
    <font>
      <i/>
      <sz val="14"/>
      <color theme="0" tint="-0.499984740745262"/>
      <name val="Century Gothic"/>
      <family val="2"/>
      <charset val="204"/>
    </font>
    <font>
      <i/>
      <sz val="10"/>
      <color theme="0" tint="-0.499984740745262"/>
      <name val="Century Gothic"/>
      <family val="2"/>
      <charset val="204"/>
    </font>
    <font>
      <b/>
      <sz val="14"/>
      <color theme="1" tint="0.39997558519241921"/>
      <name val="Century Gothic"/>
      <family val="2"/>
      <charset val="204"/>
    </font>
    <font>
      <sz val="11"/>
      <color rgb="FFFF0000"/>
      <name val="Century Gothic"/>
      <family val="2"/>
      <charset val="204"/>
    </font>
    <font>
      <b/>
      <sz val="14"/>
      <color theme="0" tint="-0.499984740745262"/>
      <name val="Calibri"/>
      <family val="2"/>
      <charset val="204"/>
      <scheme val="minor"/>
    </font>
    <font>
      <b/>
      <sz val="16"/>
      <color rgb="FFC00000"/>
      <name val="Calibri"/>
      <family val="2"/>
      <charset val="204"/>
      <scheme val="minor"/>
    </font>
    <font>
      <b/>
      <sz val="16"/>
      <color rgb="FF700000"/>
      <name val="Calibri"/>
      <family val="2"/>
      <charset val="204"/>
      <scheme val="minor"/>
    </font>
    <font>
      <b/>
      <sz val="16"/>
      <color theme="6" tint="-0.249977111117893"/>
      <name val="Calibri"/>
      <family val="2"/>
      <charset val="204"/>
      <scheme val="minor"/>
    </font>
    <font>
      <b/>
      <sz val="16"/>
      <color theme="5" tint="-0.499984740745262"/>
      <name val="Calibri"/>
      <family val="2"/>
      <charset val="204"/>
      <scheme val="minor"/>
    </font>
    <font>
      <b/>
      <sz val="16"/>
      <color theme="0" tint="-0.499984740745262"/>
      <name val="Calibri"/>
      <family val="2"/>
      <charset val="204"/>
      <scheme val="minor"/>
    </font>
    <font>
      <b/>
      <sz val="16"/>
      <color theme="1" tint="0.59999389629810485"/>
      <name val="Calibri"/>
      <family val="2"/>
      <charset val="204"/>
      <scheme val="minor"/>
    </font>
    <font>
      <sz val="11"/>
      <color theme="1" tint="0.39997558519241921"/>
      <name val="Calibri"/>
      <family val="2"/>
      <charset val="204"/>
      <scheme val="minor"/>
    </font>
    <font>
      <b/>
      <sz val="11"/>
      <color theme="0" tint="-0.499984740745262"/>
      <name val="Century Gothic"/>
      <family val="2"/>
      <charset val="204"/>
    </font>
    <font>
      <sz val="11"/>
      <color theme="0" tint="-0.499984740745262"/>
      <name val="Roboto Light"/>
      <charset val="204"/>
    </font>
    <font>
      <sz val="12"/>
      <color theme="0" tint="-0.499984740745262"/>
      <name val="Arial Black"/>
      <family val="2"/>
      <charset val="204"/>
    </font>
    <font>
      <sz val="11"/>
      <color theme="1" tint="0.39997558519241921"/>
      <name val="Roboto Light"/>
      <charset val="204"/>
    </font>
    <font>
      <sz val="11"/>
      <color rgb="FFFF0000"/>
      <name val="Roboto Light"/>
      <charset val="204"/>
    </font>
    <font>
      <u/>
      <sz val="9"/>
      <color theme="0" tint="-0.499984740745262"/>
      <name val="Century Gothic"/>
      <family val="2"/>
      <charset val="204"/>
    </font>
    <font>
      <b/>
      <sz val="12"/>
      <color theme="0" tint="-0.499984740745262"/>
      <name val="Roboto Light"/>
      <charset val="204"/>
    </font>
    <font>
      <sz val="14"/>
      <color theme="4" tint="-0.249977111117893"/>
      <name val="Arial Narrow"/>
      <family val="2"/>
    </font>
  </fonts>
  <fills count="6">
    <fill>
      <patternFill patternType="none"/>
    </fill>
    <fill>
      <patternFill patternType="gray125"/>
    </fill>
    <fill>
      <patternFill patternType="solid">
        <fgColor rgb="FFDAE6E4"/>
        <bgColor indexed="64"/>
      </patternFill>
    </fill>
    <fill>
      <patternFill patternType="solid">
        <fgColor rgb="FFDAE6E4"/>
        <bgColor auto="1"/>
      </patternFill>
    </fill>
    <fill>
      <gradientFill degree="270">
        <stop position="0">
          <color theme="0" tint="0.80001220740379042"/>
        </stop>
        <stop position="1">
          <color theme="0" tint="0.59999389629810485"/>
        </stop>
      </gradientFill>
    </fill>
    <fill>
      <patternFill patternType="solid">
        <fgColor rgb="FFF1F7ED"/>
        <bgColor indexed="64"/>
      </patternFill>
    </fill>
  </fills>
  <borders count="3">
    <border>
      <left/>
      <right/>
      <top/>
      <bottom/>
      <diagonal/>
    </border>
    <border>
      <left style="thin">
        <color theme="1" tint="0.79998168889431442"/>
      </left>
      <right style="thin">
        <color theme="1" tint="0.79998168889431442"/>
      </right>
      <top style="thin">
        <color theme="1" tint="0.79998168889431442"/>
      </top>
      <bottom style="thin">
        <color theme="1" tint="0.79998168889431442"/>
      </bottom>
      <diagonal/>
    </border>
    <border>
      <left style="thin">
        <color theme="1" tint="0.79995117038483843"/>
      </left>
      <right style="thin">
        <color theme="1" tint="0.79995117038483843"/>
      </right>
      <top style="thin">
        <color theme="1" tint="0.79995117038483843"/>
      </top>
      <bottom style="thin">
        <color theme="1" tint="0.79995117038483843"/>
      </bottom>
      <diagonal/>
    </border>
  </borders>
  <cellStyleXfs count="2">
    <xf numFmtId="0" fontId="0" fillId="0" borderId="0"/>
    <xf numFmtId="0" fontId="1" fillId="0" borderId="0"/>
  </cellStyleXfs>
  <cellXfs count="35">
    <xf numFmtId="0" fontId="0" fillId="0" borderId="0" xfId="0"/>
    <xf numFmtId="0" fontId="2" fillId="0" borderId="0" xfId="1" applyFont="1"/>
    <xf numFmtId="0" fontId="3" fillId="0" borderId="0" xfId="1" applyFont="1" applyAlignment="1">
      <alignment vertical="top"/>
    </xf>
    <xf numFmtId="0" fontId="4" fillId="0" borderId="0" xfId="1" applyFont="1" applyAlignment="1">
      <alignment horizontal="right"/>
    </xf>
    <xf numFmtId="0" fontId="5" fillId="0" borderId="0" xfId="1" applyFont="1" applyAlignment="1">
      <alignment horizontal="right"/>
    </xf>
    <xf numFmtId="0" fontId="6" fillId="0" borderId="0" xfId="1" applyFont="1"/>
    <xf numFmtId="0" fontId="7" fillId="0" borderId="0" xfId="1" applyFont="1" applyAlignment="1">
      <alignment wrapText="1"/>
    </xf>
    <xf numFmtId="0" fontId="2" fillId="0" borderId="0" xfId="1" applyFont="1" applyAlignment="1">
      <alignment horizontal="center" vertical="center" wrapText="1"/>
    </xf>
    <xf numFmtId="0" fontId="1" fillId="0" borderId="0" xfId="1"/>
    <xf numFmtId="0" fontId="8" fillId="2" borderId="0" xfId="1" applyFont="1" applyFill="1" applyAlignment="1">
      <alignment horizontal="right" vertical="center"/>
    </xf>
    <xf numFmtId="0" fontId="9" fillId="2" borderId="0" xfId="1" applyFont="1" applyFill="1" applyAlignment="1">
      <alignment horizontal="center" vertical="center"/>
    </xf>
    <xf numFmtId="164" fontId="10" fillId="3" borderId="0" xfId="1" applyNumberFormat="1" applyFont="1" applyFill="1" applyAlignment="1">
      <alignment horizontal="center" vertical="center"/>
    </xf>
    <xf numFmtId="0" fontId="11" fillId="2" borderId="0" xfId="1" applyFont="1" applyFill="1" applyAlignment="1">
      <alignment horizontal="center"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14" fillId="2" borderId="0" xfId="1" applyFont="1" applyFill="1" applyAlignment="1">
      <alignment horizontal="center" vertical="center"/>
    </xf>
    <xf numFmtId="0" fontId="15" fillId="0" borderId="0" xfId="1" applyFont="1"/>
    <xf numFmtId="0" fontId="2" fillId="0" borderId="0" xfId="1" applyFont="1" applyAlignment="1">
      <alignment horizontal="center" vertical="center"/>
    </xf>
    <xf numFmtId="165" fontId="2" fillId="0" borderId="0" xfId="1" applyNumberFormat="1" applyFont="1" applyAlignment="1">
      <alignment vertical="top"/>
    </xf>
    <xf numFmtId="1" fontId="2" fillId="0" borderId="0" xfId="1" applyNumberFormat="1" applyFont="1" applyAlignment="1">
      <alignment vertical="top"/>
    </xf>
    <xf numFmtId="14" fontId="2" fillId="0" borderId="0" xfId="1" applyNumberFormat="1" applyFont="1"/>
    <xf numFmtId="0" fontId="16" fillId="0" borderId="0" xfId="1" applyFont="1"/>
    <xf numFmtId="0" fontId="17" fillId="0" borderId="2" xfId="0" applyFont="1" applyBorder="1" applyAlignment="1">
      <alignment horizontal="left" vertical="center"/>
    </xf>
    <xf numFmtId="166" fontId="18" fillId="0" borderId="2" xfId="0" applyNumberFormat="1" applyFont="1" applyBorder="1" applyAlignment="1">
      <alignment horizontal="right" vertical="center"/>
    </xf>
    <xf numFmtId="0" fontId="20" fillId="0" borderId="2" xfId="0" applyFont="1" applyBorder="1" applyAlignment="1">
      <alignment horizontal="left" vertical="center"/>
    </xf>
    <xf numFmtId="0" fontId="21" fillId="0" borderId="0" xfId="1" applyFont="1"/>
    <xf numFmtId="165" fontId="16" fillId="0" borderId="0" xfId="1" applyNumberFormat="1" applyFont="1" applyAlignment="1">
      <alignment vertical="top"/>
    </xf>
    <xf numFmtId="1" fontId="16" fillId="0" borderId="0" xfId="1" applyNumberFormat="1" applyFont="1" applyAlignment="1">
      <alignment vertical="top"/>
    </xf>
    <xf numFmtId="0" fontId="22" fillId="4" borderId="2" xfId="0" applyFont="1" applyFill="1" applyBorder="1" applyAlignment="1">
      <alignment horizontal="center" vertical="center"/>
    </xf>
    <xf numFmtId="167" fontId="17" fillId="4" borderId="2" xfId="0" applyNumberFormat="1" applyFont="1" applyFill="1" applyBorder="1" applyAlignment="1">
      <alignment horizontal="center" vertical="center"/>
    </xf>
    <xf numFmtId="0" fontId="23" fillId="5" borderId="1" xfId="0" applyFont="1" applyFill="1" applyBorder="1" applyAlignment="1">
      <alignment horizontal="center" vertical="center" wrapText="1"/>
    </xf>
    <xf numFmtId="0" fontId="23" fillId="5" borderId="1" xfId="0" applyFont="1" applyFill="1" applyBorder="1" applyAlignment="1">
      <alignment horizontal="center" textRotation="90" wrapText="1"/>
    </xf>
    <xf numFmtId="0" fontId="17" fillId="0" borderId="2" xfId="0" applyNumberFormat="1" applyFont="1" applyBorder="1" applyAlignment="1">
      <alignment horizontal="center" vertical="center"/>
    </xf>
    <xf numFmtId="0" fontId="19" fillId="0" borderId="2" xfId="0" applyNumberFormat="1" applyFont="1" applyBorder="1" applyAlignment="1">
      <alignment horizontal="center" vertical="center"/>
    </xf>
    <xf numFmtId="0" fontId="17" fillId="4" borderId="2" xfId="0" applyNumberFormat="1" applyFont="1" applyFill="1" applyBorder="1" applyAlignment="1">
      <alignment horizontal="center" vertical="center"/>
    </xf>
  </cellXfs>
  <cellStyles count="2">
    <cellStyle name="Обычный" xfId="0" builtinId="0"/>
    <cellStyle name="Обычный 2" xfId="1" xr:uid="{0B3CD4D1-1F92-42B0-841C-0714F5689B66}"/>
  </cellStyles>
  <dxfs count="4174">
    <dxf>
      <alignment horizontal="left" indent="1"/>
    </dxf>
    <dxf>
      <alignment horizontal="right" indent="1"/>
    </dxf>
    <dxf>
      <border>
        <vertical style="dotted">
          <color theme="0" tint="0.39994506668294322"/>
        </vertical>
      </border>
    </dxf>
    <dxf>
      <font>
        <b/>
        <sz val="12"/>
        <name val="Calibri Light"/>
        <scheme val="none"/>
      </font>
      <fill>
        <patternFill patternType="solid">
          <fgColor indexed="64"/>
          <bgColor theme="0" tint="0.79998168889431442"/>
        </patternFill>
      </fill>
      <alignment horizontal="left"/>
    </dxf>
    <dxf>
      <alignment horizontal="right"/>
    </dxf>
    <dxf>
      <fill>
        <gradientFill degree="270">
          <stop position="0">
            <color theme="0" tint="0.80001220740379042"/>
          </stop>
          <stop position="1">
            <color theme="0" tint="0.59999389629810485"/>
          </stop>
        </gradientFill>
      </fill>
    </dxf>
    <dxf>
      <fill>
        <gradientFill degree="270">
          <stop position="0">
            <color theme="0" tint="0.80001220740379042"/>
          </stop>
          <stop position="1">
            <color theme="0" tint="0.59999389629810485"/>
          </stop>
        </gradientFill>
      </fill>
    </dxf>
    <dxf>
      <alignment horizontal="center"/>
    </dxf>
    <dxf>
      <font>
        <name val="Roboto Light"/>
        <scheme val="none"/>
      </font>
    </dxf>
    <dxf>
      <font>
        <name val="Roboto Light"/>
        <scheme val="none"/>
      </font>
    </dxf>
    <dxf>
      <font>
        <name val="Roboto Light"/>
        <scheme val="none"/>
      </font>
    </dxf>
    <dxf>
      <alignment textRotation="90"/>
    </dxf>
    <dxf>
      <alignment textRotation="90"/>
    </dxf>
    <dxf>
      <alignment horizontal="center"/>
    </dxf>
    <dxf>
      <alignment vertical="center"/>
    </dxf>
    <dxf>
      <font>
        <name val="Arial Narrow"/>
        <family val="2"/>
      </font>
    </dxf>
    <dxf>
      <font>
        <name val="Arial Narrow"/>
        <family val="2"/>
      </font>
    </dxf>
    <dxf>
      <font>
        <sz val="14"/>
      </font>
    </dxf>
    <dxf>
      <font>
        <sz val="14"/>
      </font>
    </dxf>
    <dxf>
      <alignment wrapText="1"/>
    </dxf>
    <dxf>
      <alignment wrapText="1"/>
    </dxf>
    <dxf>
      <font>
        <color theme="0" tint="-0.249977111117893"/>
      </font>
    </dxf>
    <dxf>
      <font>
        <color theme="0" tint="-0.249977111117893"/>
      </font>
    </dxf>
    <dxf>
      <border>
        <left style="thin">
          <color theme="1" tint="0.79998168889431442"/>
        </left>
        <right style="thin">
          <color theme="1" tint="0.79998168889431442"/>
        </right>
        <top style="thin">
          <color theme="1" tint="0.79998168889431442"/>
        </top>
        <bottom style="thin">
          <color theme="1" tint="0.79998168889431442"/>
        </bottom>
        <vertical style="thin">
          <color theme="1" tint="0.79998168889431442"/>
        </vertical>
      </border>
    </dxf>
    <dxf>
      <border>
        <left style="thin">
          <color theme="1" tint="0.79998168889431442"/>
        </left>
        <right style="thin">
          <color theme="1" tint="0.79998168889431442"/>
        </right>
        <top style="thin">
          <color theme="1" tint="0.79998168889431442"/>
        </top>
        <bottom style="thin">
          <color theme="1" tint="0.79998168889431442"/>
        </bottom>
        <vertical style="thin">
          <color theme="1" tint="0.79998168889431442"/>
        </vertic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alignment horizontal="center" indent="0"/>
    </dxf>
    <dxf>
      <alignment horizontal="center" indent="0"/>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59999389629810485"/>
      </font>
    </dxf>
    <dxf>
      <alignment horizontal="right" indent="1"/>
    </dxf>
    <dxf>
      <numFmt numFmtId="167" formatCode=";;;"/>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color rgb="FFFF0000"/>
      </font>
    </dxf>
    <dxf>
      <font>
        <color rgb="FFFF0000"/>
      </font>
    </dxf>
    <dxf>
      <font>
        <color rgb="FFFF0000"/>
      </font>
    </dxf>
    <dxf>
      <font>
        <color rgb="FFFF0000"/>
      </font>
    </dxf>
    <dxf>
      <font>
        <color rgb="FFFF0000"/>
      </font>
    </dxf>
    <dxf>
      <font>
        <color rgb="FFFF0000"/>
      </font>
    </dxf>
    <dxf>
      <fill>
        <patternFill patternType="solid">
          <bgColor theme="9" tint="0.79998168889431442"/>
        </patternFill>
      </fill>
    </dxf>
    <dxf>
      <fill>
        <patternFill patternType="solid">
          <bgColor theme="9" tint="0.79998168889431442"/>
        </patternFill>
      </fill>
    </dxf>
    <dxf>
      <fill>
        <patternFill>
          <bgColor rgb="FFF1F7ED"/>
        </patternFill>
      </fill>
    </dxf>
    <dxf>
      <fill>
        <patternFill>
          <bgColor rgb="FFF1F7ED"/>
        </patternFill>
      </fill>
    </dxf>
    <dxf>
      <font>
        <color theme="4" tint="-0.249977111117893"/>
      </font>
    </dxf>
    <dxf>
      <font>
        <color theme="4" tint="-0.249977111117893"/>
      </font>
    </dxf>
    <dxf>
      <alignment horizontal="left" indent="1"/>
    </dxf>
    <dxf>
      <alignment horizontal="right" indent="1"/>
    </dxf>
    <dxf>
      <border>
        <vertical style="dotted">
          <color theme="0" tint="0.39994506668294322"/>
        </vertical>
      </border>
    </dxf>
    <dxf>
      <font>
        <b/>
        <sz val="12"/>
        <name val="Calibri Light"/>
        <scheme val="none"/>
      </font>
      <fill>
        <patternFill patternType="solid">
          <fgColor indexed="64"/>
          <bgColor theme="0" tint="0.79998168889431442"/>
        </patternFill>
      </fill>
      <alignment horizontal="left"/>
    </dxf>
    <dxf>
      <alignment horizontal="right"/>
    </dxf>
    <dxf>
      <fill>
        <gradientFill degree="270">
          <stop position="0">
            <color theme="0" tint="0.80001220740379042"/>
          </stop>
          <stop position="1">
            <color theme="0" tint="0.59999389629810485"/>
          </stop>
        </gradientFill>
      </fill>
    </dxf>
    <dxf>
      <fill>
        <gradientFill degree="270">
          <stop position="0">
            <color theme="0" tint="0.80001220740379042"/>
          </stop>
          <stop position="1">
            <color theme="0" tint="0.59999389629810485"/>
          </stop>
        </gradientFill>
      </fill>
    </dxf>
    <dxf>
      <alignment horizontal="center"/>
    </dxf>
    <dxf>
      <font>
        <name val="Roboto Light"/>
        <scheme val="none"/>
      </font>
    </dxf>
    <dxf>
      <font>
        <name val="Roboto Light"/>
        <scheme val="none"/>
      </font>
    </dxf>
    <dxf>
      <font>
        <name val="Roboto Light"/>
        <scheme val="none"/>
      </font>
    </dxf>
    <dxf>
      <alignment textRotation="90"/>
    </dxf>
    <dxf>
      <alignment textRotation="90"/>
    </dxf>
    <dxf>
      <alignment horizontal="center"/>
    </dxf>
    <dxf>
      <alignment vertical="center"/>
    </dxf>
    <dxf>
      <font>
        <name val="Arial Narrow"/>
        <family val="2"/>
      </font>
    </dxf>
    <dxf>
      <font>
        <name val="Arial Narrow"/>
        <family val="2"/>
      </font>
    </dxf>
    <dxf>
      <font>
        <sz val="14"/>
      </font>
    </dxf>
    <dxf>
      <font>
        <sz val="14"/>
      </font>
    </dxf>
    <dxf>
      <alignment wrapText="1"/>
    </dxf>
    <dxf>
      <alignment wrapText="1"/>
    </dxf>
    <dxf>
      <font>
        <color theme="0" tint="-0.249977111117893"/>
      </font>
    </dxf>
    <dxf>
      <font>
        <color theme="0" tint="-0.249977111117893"/>
      </font>
    </dxf>
    <dxf>
      <border>
        <left style="thin">
          <color theme="1" tint="0.79998168889431442"/>
        </left>
        <right style="thin">
          <color theme="1" tint="0.79998168889431442"/>
        </right>
        <top style="thin">
          <color theme="1" tint="0.79998168889431442"/>
        </top>
        <bottom style="thin">
          <color theme="1" tint="0.79998168889431442"/>
        </bottom>
        <vertical style="thin">
          <color theme="1" tint="0.79998168889431442"/>
        </vertical>
      </border>
    </dxf>
    <dxf>
      <border>
        <left style="thin">
          <color theme="1" tint="0.79998168889431442"/>
        </left>
        <right style="thin">
          <color theme="1" tint="0.79998168889431442"/>
        </right>
        <top style="thin">
          <color theme="1" tint="0.79998168889431442"/>
        </top>
        <bottom style="thin">
          <color theme="1" tint="0.79998168889431442"/>
        </bottom>
        <vertical style="thin">
          <color theme="1" tint="0.79998168889431442"/>
        </vertic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alignment horizontal="center" indent="0"/>
    </dxf>
    <dxf>
      <alignment horizontal="center" indent="0"/>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59999389629810485"/>
      </font>
    </dxf>
    <dxf>
      <alignment horizontal="right" indent="1"/>
    </dxf>
    <dxf>
      <numFmt numFmtId="167" formatCode=";;;"/>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color rgb="FFFF0000"/>
      </font>
    </dxf>
    <dxf>
      <font>
        <color rgb="FFFF0000"/>
      </font>
    </dxf>
    <dxf>
      <font>
        <color rgb="FFFF0000"/>
      </font>
    </dxf>
    <dxf>
      <font>
        <color rgb="FFFF0000"/>
      </font>
    </dxf>
    <dxf>
      <font>
        <color rgb="FFFF0000"/>
      </font>
    </dxf>
    <dxf>
      <font>
        <color rgb="FFFF0000"/>
      </font>
    </dxf>
    <dxf>
      <fill>
        <patternFill patternType="solid">
          <bgColor theme="9" tint="0.79998168889431442"/>
        </patternFill>
      </fill>
    </dxf>
    <dxf>
      <fill>
        <patternFill patternType="solid">
          <bgColor theme="9" tint="0.79998168889431442"/>
        </patternFill>
      </fill>
    </dxf>
    <dxf>
      <fill>
        <patternFill>
          <bgColor rgb="FFF1F7ED"/>
        </patternFill>
      </fill>
    </dxf>
    <dxf>
      <fill>
        <patternFill>
          <bgColor rgb="FFF1F7ED"/>
        </patternFill>
      </fill>
    </dxf>
    <dxf>
      <font>
        <color theme="4" tint="-0.249977111117893"/>
      </font>
    </dxf>
    <dxf>
      <font>
        <color theme="4" tint="-0.249977111117893"/>
      </font>
    </dxf>
    <dxf>
      <font>
        <color theme="4" tint="-0.249977111117893"/>
      </font>
    </dxf>
    <dxf>
      <font>
        <color theme="4" tint="-0.249977111117893"/>
      </font>
    </dxf>
    <dxf>
      <fill>
        <patternFill>
          <bgColor rgb="FFF1F7ED"/>
        </patternFill>
      </fill>
    </dxf>
    <dxf>
      <fill>
        <patternFill>
          <bgColor rgb="FFF1F7ED"/>
        </patternFill>
      </fill>
    </dxf>
    <dxf>
      <fill>
        <patternFill patternType="solid">
          <bgColor theme="9" tint="0.79998168889431442"/>
        </patternFill>
      </fill>
    </dxf>
    <dxf>
      <fill>
        <patternFill patternType="solid">
          <bgColor theme="9" tint="0.79998168889431442"/>
        </patternFill>
      </fill>
    </dxf>
    <dxf>
      <font>
        <b val="0"/>
        <i val="0"/>
        <strike val="0"/>
        <condense val="0"/>
        <extend val="0"/>
        <outline val="0"/>
        <shadow val="0"/>
        <u val="none"/>
        <vertAlign val="baseline"/>
        <sz val="11"/>
        <color theme="0" tint="-0.499984740745262"/>
        <name val="Century Gothic"/>
        <family val="2"/>
        <charset val="204"/>
        <scheme val="none"/>
      </font>
      <fill>
        <patternFill patternType="none">
          <fgColor indexed="64"/>
          <bgColor indexed="65"/>
        </patternFill>
      </fill>
    </dxf>
    <dxf>
      <font>
        <b val="0"/>
        <i val="0"/>
        <strike val="0"/>
        <condense val="0"/>
        <extend val="0"/>
        <outline val="0"/>
        <shadow val="0"/>
        <u val="none"/>
        <vertAlign val="baseline"/>
        <sz val="11"/>
        <color theme="0" tint="-0.499984740745262"/>
        <name val="Century Gothic"/>
        <family val="2"/>
        <charset val="204"/>
        <scheme val="none"/>
      </font>
      <fill>
        <patternFill patternType="none">
          <fgColor indexed="64"/>
          <bgColor indexed="65"/>
        </patternFill>
      </fill>
    </dxf>
    <dxf>
      <font>
        <b val="0"/>
        <i val="0"/>
        <strike val="0"/>
        <condense val="0"/>
        <extend val="0"/>
        <outline val="0"/>
        <shadow val="0"/>
        <u val="none"/>
        <vertAlign val="baseline"/>
        <sz val="11"/>
        <color theme="0" tint="-0.499984740745262"/>
        <name val="Century Gothic"/>
        <family val="2"/>
        <charset val="204"/>
        <scheme val="none"/>
      </font>
      <fill>
        <patternFill patternType="none">
          <fgColor indexed="64"/>
          <bgColor indexed="65"/>
        </patternFill>
      </fill>
    </dxf>
    <dxf>
      <font>
        <b val="0"/>
        <i val="0"/>
        <strike val="0"/>
        <condense val="0"/>
        <extend val="0"/>
        <outline val="0"/>
        <shadow val="0"/>
        <u val="none"/>
        <vertAlign val="baseline"/>
        <sz val="11"/>
        <color theme="0" tint="-0.499984740745262"/>
        <name val="Century Gothic"/>
        <family val="2"/>
        <charset val="204"/>
        <scheme val="none"/>
      </font>
      <fill>
        <patternFill patternType="none">
          <fgColor indexed="64"/>
          <bgColor indexed="65"/>
        </patternFill>
      </fill>
    </dxf>
    <dxf>
      <font>
        <b val="0"/>
        <i val="0"/>
        <strike val="0"/>
        <condense val="0"/>
        <extend val="0"/>
        <outline val="0"/>
        <shadow val="0"/>
        <u val="none"/>
        <vertAlign val="baseline"/>
        <sz val="11"/>
        <color theme="0" tint="-0.499984740745262"/>
        <name val="Century Gothic"/>
        <family val="2"/>
        <charset val="204"/>
        <scheme val="none"/>
      </font>
      <numFmt numFmtId="19" formatCode="dd/mm/yyyy"/>
      <fill>
        <patternFill patternType="none">
          <fgColor indexed="64"/>
          <bgColor indexed="65"/>
        </patternFill>
      </fill>
    </dxf>
    <dxf>
      <font>
        <b val="0"/>
        <i val="0"/>
        <strike val="0"/>
        <condense val="0"/>
        <extend val="0"/>
        <outline val="0"/>
        <shadow val="0"/>
        <u val="none"/>
        <vertAlign val="baseline"/>
        <sz val="11"/>
        <color theme="0" tint="-0.499984740745262"/>
        <name val="Century Gothic"/>
        <family val="2"/>
        <charset val="204"/>
        <scheme val="none"/>
      </font>
    </dxf>
    <dxf>
      <font>
        <b val="0"/>
        <i val="0"/>
        <strike val="0"/>
        <condense val="0"/>
        <extend val="0"/>
        <outline val="0"/>
        <shadow val="0"/>
        <u val="none"/>
        <vertAlign val="baseline"/>
        <sz val="11"/>
        <color theme="0" tint="-0.499984740745262"/>
        <name val="Century Gothic"/>
        <family val="2"/>
        <charset val="204"/>
        <scheme val="none"/>
      </font>
      <alignment horizontal="center" vertical="center" textRotation="0" wrapText="0" indent="0" justifyLastLine="0" shrinkToFit="0" readingOrder="0"/>
    </dxf>
    <dxf>
      <alignment horizontal="left" indent="1"/>
    </dxf>
    <dxf>
      <alignment horizontal="right" indent="1"/>
    </dxf>
    <dxf>
      <border>
        <vertical style="dotted">
          <color theme="0" tint="0.39994506668294322"/>
        </vertical>
      </border>
    </dxf>
    <dxf>
      <font>
        <b/>
        <sz val="12"/>
        <name val="Calibri Light"/>
        <scheme val="none"/>
      </font>
      <fill>
        <patternFill patternType="solid">
          <fgColor indexed="64"/>
          <bgColor theme="0" tint="0.79998168889431442"/>
        </patternFill>
      </fill>
      <alignment horizontal="left"/>
    </dxf>
    <dxf>
      <alignment horizontal="right"/>
    </dxf>
    <dxf>
      <fill>
        <gradientFill degree="270">
          <stop position="0">
            <color theme="0" tint="0.80001220740379042"/>
          </stop>
          <stop position="1">
            <color theme="0" tint="0.59999389629810485"/>
          </stop>
        </gradientFill>
      </fill>
    </dxf>
    <dxf>
      <fill>
        <gradientFill degree="270">
          <stop position="0">
            <color theme="0" tint="0.80001220740379042"/>
          </stop>
          <stop position="1">
            <color theme="0" tint="0.59999389629810485"/>
          </stop>
        </gradientFill>
      </fill>
    </dxf>
    <dxf>
      <alignment horizontal="center"/>
    </dxf>
    <dxf>
      <font>
        <name val="Roboto Light"/>
        <scheme val="none"/>
      </font>
    </dxf>
    <dxf>
      <font>
        <name val="Roboto Light"/>
        <scheme val="none"/>
      </font>
    </dxf>
    <dxf>
      <font>
        <name val="Roboto Light"/>
        <scheme val="none"/>
      </font>
    </dxf>
    <dxf>
      <alignment textRotation="90"/>
    </dxf>
    <dxf>
      <alignment textRotation="90"/>
    </dxf>
    <dxf>
      <alignment horizontal="center"/>
    </dxf>
    <dxf>
      <alignment vertical="center"/>
    </dxf>
    <dxf>
      <font>
        <name val="Arial Narrow"/>
        <family val="2"/>
      </font>
    </dxf>
    <dxf>
      <font>
        <name val="Arial Narrow"/>
        <family val="2"/>
      </font>
    </dxf>
    <dxf>
      <font>
        <sz val="14"/>
      </font>
    </dxf>
    <dxf>
      <font>
        <sz val="14"/>
      </font>
    </dxf>
    <dxf>
      <alignment wrapText="1"/>
    </dxf>
    <dxf>
      <alignment wrapText="1"/>
    </dxf>
    <dxf>
      <font>
        <color theme="0" tint="-0.249977111117893"/>
      </font>
    </dxf>
    <dxf>
      <font>
        <color theme="0" tint="-0.249977111117893"/>
      </font>
    </dxf>
    <dxf>
      <border>
        <left style="thin">
          <color theme="1" tint="0.79998168889431442"/>
        </left>
        <right style="thin">
          <color theme="1" tint="0.79998168889431442"/>
        </right>
        <top style="thin">
          <color theme="1" tint="0.79998168889431442"/>
        </top>
        <bottom style="thin">
          <color theme="1" tint="0.79998168889431442"/>
        </bottom>
        <vertical style="thin">
          <color theme="1" tint="0.79998168889431442"/>
        </vertical>
      </border>
    </dxf>
    <dxf>
      <border>
        <left style="thin">
          <color theme="1" tint="0.79998168889431442"/>
        </left>
        <right style="thin">
          <color theme="1" tint="0.79998168889431442"/>
        </right>
        <top style="thin">
          <color theme="1" tint="0.79998168889431442"/>
        </top>
        <bottom style="thin">
          <color theme="1" tint="0.79998168889431442"/>
        </bottom>
        <vertical style="thin">
          <color theme="1" tint="0.79998168889431442"/>
        </vertic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border>
        <left style="thin">
          <color theme="1" tint="0.79995117038483843"/>
        </left>
        <right style="thin">
          <color theme="1" tint="0.79995117038483843"/>
        </right>
        <top style="thin">
          <color theme="1" tint="0.79995117038483843"/>
        </top>
        <bottom style="thin">
          <color theme="1" tint="0.79995117038483843"/>
        </bottom>
        <vertical style="thin">
          <color theme="1" tint="0.79995117038483843"/>
        </vertical>
        <horizontal style="thin">
          <color theme="1" tint="0.79995117038483843"/>
        </horizontal>
      </border>
    </dxf>
    <dxf>
      <alignment horizontal="center" indent="0"/>
    </dxf>
    <dxf>
      <alignment horizontal="center" indent="0"/>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39997558519241921"/>
      </font>
    </dxf>
    <dxf>
      <font>
        <color theme="1" tint="0.59999389629810485"/>
      </font>
    </dxf>
    <dxf>
      <alignment horizontal="right" indent="1"/>
    </dxf>
    <dxf>
      <numFmt numFmtId="167" formatCode=";;;"/>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numFmt numFmtId="166" formatCode="[Color50]##0;[Color3]\-##0;[Color15]General"/>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font>
        <name val="Arial Black"/>
        <family val="2"/>
      </font>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name val="Roboto Black"/>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font>
        <sz val="12"/>
        <charset val="20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name val="Arial Black"/>
      </font>
    </dxf>
    <dxf>
      <font>
        <color rgb="FFFF0000"/>
      </font>
    </dxf>
    <dxf>
      <font>
        <color rgb="FFFF0000"/>
      </font>
    </dxf>
    <dxf>
      <font>
        <color rgb="FFFF0000"/>
      </font>
    </dxf>
    <dxf>
      <font>
        <color rgb="FFFF0000"/>
      </font>
    </dxf>
    <dxf>
      <font>
        <color rgb="FFFF0000"/>
      </font>
    </dxf>
    <dxf>
      <font>
        <color rgb="FFFF0000"/>
      </font>
    </dxf>
    <dxf>
      <font>
        <b/>
        <i val="0"/>
        <color theme="1"/>
      </font>
      <fill>
        <gradientFill degree="270">
          <stop position="0">
            <color rgb="FFFFFFFF"/>
          </stop>
          <stop position="1">
            <color rgb="FFD2EAE3"/>
          </stop>
        </gradientFill>
      </fill>
      <border>
        <top style="double">
          <color rgb="FF7CC1AC"/>
        </top>
      </border>
    </dxf>
    <dxf>
      <font>
        <b/>
        <i val="0"/>
        <strike val="0"/>
        <color theme="1"/>
      </font>
      <fill>
        <gradientFill degree="90">
          <stop position="0">
            <color rgb="FFB9DDD2"/>
          </stop>
          <stop position="1">
            <color rgb="FFFFFFFF"/>
          </stop>
        </gradientFill>
      </fill>
      <border>
        <bottom style="double">
          <color rgb="FF7CC1AC"/>
        </bottom>
      </border>
    </dxf>
    <dxf>
      <font>
        <color theme="1"/>
      </font>
      <fill>
        <patternFill patternType="none">
          <fgColor auto="1"/>
          <bgColor auto="1"/>
        </patternFill>
      </fill>
      <border>
        <left style="thin">
          <color rgb="FF7CC1AC"/>
        </left>
        <right style="thin">
          <color rgb="FF7CC1AC"/>
        </right>
        <top style="thin">
          <color rgb="FF7CC1AC"/>
        </top>
        <bottom style="thin">
          <color rgb="FF7CC1AC"/>
        </bottom>
        <vertical style="thin">
          <color rgb="FF7CC1AC"/>
        </vertical>
        <horizontal style="thin">
          <color rgb="FF7CC1AC"/>
        </horizontal>
      </border>
    </dxf>
  </dxfs>
  <tableStyles count="1" defaultTableStyle="TableStyleMedium2" defaultPivotStyle="PivotStyleLight16">
    <tableStyle name="asd_202401 3" pivot="0" count="3" xr9:uid="{0A38F3D5-B7CC-4C1C-8C42-3DBCA7ED2610}">
      <tableStyleElement type="wholeTable" dxfId="4173"/>
      <tableStyleElement type="headerRow" dxfId="4172"/>
      <tableStyleElement type="totalRow" dxfId="4171"/>
    </tableStyle>
  </tableStyles>
  <colors>
    <mruColors>
      <color rgb="FFF1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connections" Target="connections.xml"/><Relationship Id="rId10" Type="http://schemas.openxmlformats.org/officeDocument/2006/relationships/calcChain" Target="calcChain.xml"/><Relationship Id="rId4" Type="http://schemas.openxmlformats.org/officeDocument/2006/relationships/theme" Target="theme/theme1.xml"/><Relationship Id="rId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139608121882534E-2"/>
          <c:y val="8.39701963733607E-2"/>
          <c:w val="0.92832060530271188"/>
          <c:h val="0.57865424125355103"/>
        </c:manualLayout>
      </c:layout>
      <c:barChart>
        <c:barDir val="col"/>
        <c:grouping val="stacked"/>
        <c:varyColors val="0"/>
        <c:ser>
          <c:idx val="0"/>
          <c:order val="0"/>
          <c:tx>
            <c:strRef>
              <c:f>AttestDinamic!$D$9</c:f>
              <c:strCache>
                <c:ptCount val="1"/>
                <c:pt idx="0">
                  <c:v>Эксперты</c:v>
                </c:pt>
              </c:strCache>
            </c:strRef>
          </c:tx>
          <c:spPr>
            <a:gradFill>
              <a:gsLst>
                <a:gs pos="0">
                  <a:schemeClr val="accent1">
                    <a:lumMod val="5000"/>
                    <a:lumOff val="95000"/>
                  </a:schemeClr>
                </a:gs>
                <a:gs pos="25000">
                  <a:srgbClr val="CBE6B1"/>
                </a:gs>
                <a:gs pos="100000">
                  <a:schemeClr val="accent4">
                    <a:lumMod val="75000"/>
                  </a:schemeClr>
                </a:gs>
              </a:gsLst>
              <a:lin ang="16200000" scaled="0"/>
            </a:gradFill>
            <a:ln w="3175">
              <a:solidFill>
                <a:schemeClr val="accent4">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4">
                        <a:lumMod val="50000"/>
                      </a:schemeClr>
                    </a:solidFill>
                    <a:latin typeface="Bahnschrift SemiBold Condensed" panose="020B0502040204020203" pitchFamily="34" charset="0"/>
                    <a:ea typeface="+mn-ea"/>
                    <a:cs typeface="+mn-cs"/>
                  </a:defRPr>
                </a:pPr>
                <a:endParaRPr lang="ru-RU"/>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AttestDinamic!$B$10:$B$21</c:f>
              <c:numCache>
                <c:formatCode>m/d/yyyy</c:formatCode>
                <c:ptCount val="12"/>
                <c:pt idx="0">
                  <c:v>46000</c:v>
                </c:pt>
                <c:pt idx="1">
                  <c:v>46001</c:v>
                </c:pt>
                <c:pt idx="2">
                  <c:v>46002</c:v>
                </c:pt>
                <c:pt idx="3">
                  <c:v>46020</c:v>
                </c:pt>
                <c:pt idx="4">
                  <c:v>46034</c:v>
                </c:pt>
                <c:pt idx="5">
                  <c:v>46037</c:v>
                </c:pt>
                <c:pt idx="6">
                  <c:v>46049</c:v>
                </c:pt>
                <c:pt idx="7">
                  <c:v>46118</c:v>
                </c:pt>
                <c:pt idx="8">
                  <c:v>46122</c:v>
                </c:pt>
                <c:pt idx="9">
                  <c:v>46133</c:v>
                </c:pt>
                <c:pt idx="10">
                  <c:v>46148</c:v>
                </c:pt>
                <c:pt idx="11">
                  <c:v>46157</c:v>
                </c:pt>
              </c:numCache>
            </c:numRef>
          </c:cat>
          <c:val>
            <c:numRef>
              <c:f>AttestDinamic!$D$10:$D$21</c:f>
              <c:numCache>
                <c:formatCode>General</c:formatCode>
                <c:ptCount val="12"/>
                <c:pt idx="0">
                  <c:v>27</c:v>
                </c:pt>
                <c:pt idx="1">
                  <c:v>28</c:v>
                </c:pt>
                <c:pt idx="2">
                  <c:v>28</c:v>
                </c:pt>
                <c:pt idx="3">
                  <c:v>34</c:v>
                </c:pt>
                <c:pt idx="4">
                  <c:v>34</c:v>
                </c:pt>
                <c:pt idx="5">
                  <c:v>36</c:v>
                </c:pt>
                <c:pt idx="6">
                  <c:v>37</c:v>
                </c:pt>
                <c:pt idx="7">
                  <c:v>41</c:v>
                </c:pt>
                <c:pt idx="8">
                  <c:v>46</c:v>
                </c:pt>
                <c:pt idx="9">
                  <c:v>53</c:v>
                </c:pt>
                <c:pt idx="10">
                  <c:v>58</c:v>
                </c:pt>
                <c:pt idx="11">
                  <c:v>61</c:v>
                </c:pt>
              </c:numCache>
            </c:numRef>
          </c:val>
          <c:extLst>
            <c:ext xmlns:c16="http://schemas.microsoft.com/office/drawing/2014/chart" uri="{C3380CC4-5D6E-409C-BE32-E72D297353CC}">
              <c16:uniqueId val="{00000000-8701-422F-B80E-8768EF1C62D0}"/>
            </c:ext>
          </c:extLst>
        </c:ser>
        <c:ser>
          <c:idx val="3"/>
          <c:order val="2"/>
          <c:tx>
            <c:strRef>
              <c:f>AttestDinamic!$F$9</c:f>
              <c:strCache>
                <c:ptCount val="1"/>
                <c:pt idx="0">
                  <c:v>Кандидаты</c:v>
                </c:pt>
              </c:strCache>
            </c:strRef>
          </c:tx>
          <c:spPr>
            <a:gradFill>
              <a:gsLst>
                <a:gs pos="6000">
                  <a:srgbClr val="FFFFFF"/>
                </a:gs>
                <a:gs pos="44000">
                  <a:srgbClr val="9CBEB8"/>
                </a:gs>
              </a:gsLst>
              <a:lin ang="5400000" scaled="0"/>
            </a:gradFill>
            <a:ln w="3175">
              <a:solidFill>
                <a:srgbClr val="C6DCD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40000"/>
                        <a:lumOff val="60000"/>
                      </a:schemeClr>
                    </a:solidFill>
                    <a:latin typeface="Bahnschrift SemiBold Condensed" panose="020B0502040204020203" pitchFamily="34" charset="0"/>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AttestDinamic!$B$10:$B$21</c:f>
              <c:numCache>
                <c:formatCode>m/d/yyyy</c:formatCode>
                <c:ptCount val="12"/>
                <c:pt idx="0">
                  <c:v>46000</c:v>
                </c:pt>
                <c:pt idx="1">
                  <c:v>46001</c:v>
                </c:pt>
                <c:pt idx="2">
                  <c:v>46002</c:v>
                </c:pt>
                <c:pt idx="3">
                  <c:v>46020</c:v>
                </c:pt>
                <c:pt idx="4">
                  <c:v>46034</c:v>
                </c:pt>
                <c:pt idx="5">
                  <c:v>46037</c:v>
                </c:pt>
                <c:pt idx="6">
                  <c:v>46049</c:v>
                </c:pt>
                <c:pt idx="7">
                  <c:v>46118</c:v>
                </c:pt>
                <c:pt idx="8">
                  <c:v>46122</c:v>
                </c:pt>
                <c:pt idx="9">
                  <c:v>46133</c:v>
                </c:pt>
                <c:pt idx="10">
                  <c:v>46148</c:v>
                </c:pt>
                <c:pt idx="11">
                  <c:v>46157</c:v>
                </c:pt>
              </c:numCache>
            </c:numRef>
          </c:cat>
          <c:val>
            <c:numRef>
              <c:f>AttestDinamic!$F$10:$F$21</c:f>
              <c:numCache>
                <c:formatCode>General</c:formatCode>
                <c:ptCount val="12"/>
                <c:pt idx="0">
                  <c:v>117</c:v>
                </c:pt>
                <c:pt idx="1">
                  <c:v>117</c:v>
                </c:pt>
                <c:pt idx="2">
                  <c:v>118</c:v>
                </c:pt>
                <c:pt idx="3">
                  <c:v>108</c:v>
                </c:pt>
                <c:pt idx="4">
                  <c:v>108</c:v>
                </c:pt>
                <c:pt idx="5">
                  <c:v>106</c:v>
                </c:pt>
                <c:pt idx="6">
                  <c:v>104</c:v>
                </c:pt>
                <c:pt idx="7">
                  <c:v>104</c:v>
                </c:pt>
                <c:pt idx="8">
                  <c:v>98</c:v>
                </c:pt>
                <c:pt idx="9">
                  <c:v>90</c:v>
                </c:pt>
                <c:pt idx="10">
                  <c:v>82</c:v>
                </c:pt>
                <c:pt idx="11">
                  <c:v>120</c:v>
                </c:pt>
              </c:numCache>
            </c:numRef>
          </c:val>
          <c:extLst>
            <c:ext xmlns:c16="http://schemas.microsoft.com/office/drawing/2014/chart" uri="{C3380CC4-5D6E-409C-BE32-E72D297353CC}">
              <c16:uniqueId val="{00000001-8701-422F-B80E-8768EF1C62D0}"/>
            </c:ext>
          </c:extLst>
        </c:ser>
        <c:dLbls>
          <c:showLegendKey val="0"/>
          <c:showVal val="0"/>
          <c:showCatName val="0"/>
          <c:showSerName val="0"/>
          <c:showPercent val="0"/>
          <c:showBubbleSize val="0"/>
        </c:dLbls>
        <c:gapWidth val="58"/>
        <c:overlap val="100"/>
        <c:axId val="1886080880"/>
        <c:axId val="1886073808"/>
      </c:barChart>
      <c:lineChart>
        <c:grouping val="stacked"/>
        <c:varyColors val="0"/>
        <c:ser>
          <c:idx val="1"/>
          <c:order val="1"/>
          <c:tx>
            <c:strRef>
              <c:f>AttestDinamic!$E$9</c:f>
              <c:strCache>
                <c:ptCount val="1"/>
                <c:pt idx="0">
                  <c:v>% экспертов</c:v>
                </c:pt>
              </c:strCache>
            </c:strRef>
          </c:tx>
          <c:spPr>
            <a:ln w="57150" cap="rnd">
              <a:solidFill>
                <a:srgbClr val="FFFFFF"/>
              </a:solidFill>
              <a:round/>
            </a:ln>
            <a:effectLst>
              <a:outerShdw blurRad="88900" dist="38100" dir="5400000" algn="t" rotWithShape="0">
                <a:prstClr val="black">
                  <a:alpha val="22000"/>
                </a:prstClr>
              </a:outerShdw>
            </a:effectLst>
          </c:spPr>
          <c:marker>
            <c:symbol val="circle"/>
            <c:size val="8"/>
            <c:spPr>
              <a:solidFill>
                <a:srgbClr val="FFFFFF"/>
              </a:solidFill>
              <a:ln w="9525">
                <a:solidFill>
                  <a:schemeClr val="accent4">
                    <a:lumMod val="50000"/>
                  </a:schemeClr>
                </a:solidFill>
              </a:ln>
              <a:effectLst>
                <a:outerShdw blurRad="88900" dist="38100" dir="5400000" algn="t" rotWithShape="0">
                  <a:prstClr val="black">
                    <a:alpha val="22000"/>
                  </a:prstClr>
                </a:outerShdw>
              </a:effectLst>
            </c:spPr>
          </c:marker>
          <c:dLbls>
            <c:numFmt formatCode="#,##0&quot; %&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spc="-140" baseline="0">
                    <a:solidFill>
                      <a:srgbClr val="FFFFFF"/>
                    </a:solidFill>
                    <a:latin typeface="Bahnschrift SemiBold Condensed" panose="020B0502040204020203" pitchFamily="34" charset="0"/>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AttestDinamic!$B$10:$B$21</c:f>
              <c:numCache>
                <c:formatCode>m/d/yyyy</c:formatCode>
                <c:ptCount val="12"/>
                <c:pt idx="0">
                  <c:v>46000</c:v>
                </c:pt>
                <c:pt idx="1">
                  <c:v>46001</c:v>
                </c:pt>
                <c:pt idx="2">
                  <c:v>46002</c:v>
                </c:pt>
                <c:pt idx="3">
                  <c:v>46020</c:v>
                </c:pt>
                <c:pt idx="4">
                  <c:v>46034</c:v>
                </c:pt>
                <c:pt idx="5">
                  <c:v>46037</c:v>
                </c:pt>
                <c:pt idx="6">
                  <c:v>46049</c:v>
                </c:pt>
                <c:pt idx="7">
                  <c:v>46118</c:v>
                </c:pt>
                <c:pt idx="8">
                  <c:v>46122</c:v>
                </c:pt>
                <c:pt idx="9">
                  <c:v>46133</c:v>
                </c:pt>
                <c:pt idx="10">
                  <c:v>46148</c:v>
                </c:pt>
                <c:pt idx="11">
                  <c:v>46157</c:v>
                </c:pt>
              </c:numCache>
            </c:numRef>
          </c:cat>
          <c:val>
            <c:numRef>
              <c:f>AttestDinamic!$E$10:$E$21</c:f>
              <c:numCache>
                <c:formatCode>General</c:formatCode>
                <c:ptCount val="12"/>
                <c:pt idx="0">
                  <c:v>18.239999999999998</c:v>
                </c:pt>
                <c:pt idx="1">
                  <c:v>18.79</c:v>
                </c:pt>
                <c:pt idx="2">
                  <c:v>18.79</c:v>
                </c:pt>
                <c:pt idx="3">
                  <c:v>22.97</c:v>
                </c:pt>
                <c:pt idx="4">
                  <c:v>22.97</c:v>
                </c:pt>
                <c:pt idx="5">
                  <c:v>24.32</c:v>
                </c:pt>
                <c:pt idx="6">
                  <c:v>24.83</c:v>
                </c:pt>
                <c:pt idx="7">
                  <c:v>26.62</c:v>
                </c:pt>
                <c:pt idx="8">
                  <c:v>29.87</c:v>
                </c:pt>
                <c:pt idx="9">
                  <c:v>34.64</c:v>
                </c:pt>
                <c:pt idx="10">
                  <c:v>37.42</c:v>
                </c:pt>
                <c:pt idx="11">
                  <c:v>30.65</c:v>
                </c:pt>
              </c:numCache>
            </c:numRef>
          </c:val>
          <c:smooth val="0"/>
          <c:extLst>
            <c:ext xmlns:c16="http://schemas.microsoft.com/office/drawing/2014/chart" uri="{C3380CC4-5D6E-409C-BE32-E72D297353CC}">
              <c16:uniqueId val="{00000002-8701-422F-B80E-8768EF1C62D0}"/>
            </c:ext>
          </c:extLst>
        </c:ser>
        <c:dLbls>
          <c:showLegendKey val="0"/>
          <c:showVal val="0"/>
          <c:showCatName val="0"/>
          <c:showSerName val="0"/>
          <c:showPercent val="0"/>
          <c:showBubbleSize val="0"/>
        </c:dLbls>
        <c:marker val="1"/>
        <c:smooth val="0"/>
        <c:axId val="609883135"/>
        <c:axId val="609893119"/>
      </c:lineChart>
      <c:valAx>
        <c:axId val="1886073808"/>
        <c:scaling>
          <c:orientation val="minMax"/>
        </c:scaling>
        <c:delete val="0"/>
        <c:axPos val="r"/>
        <c:numFmt formatCode="General"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ru-RU"/>
          </a:p>
        </c:txPr>
        <c:crossAx val="1886080880"/>
        <c:crosses val="max"/>
        <c:crossBetween val="between"/>
      </c:valAx>
      <c:catAx>
        <c:axId val="1886080880"/>
        <c:scaling>
          <c:orientation val="minMax"/>
        </c:scaling>
        <c:delete val="0"/>
        <c:axPos val="b"/>
        <c:numFmt formatCode="m/d/yyyy" sourceLinked="0"/>
        <c:majorTickMark val="out"/>
        <c:minorTickMark val="none"/>
        <c:tickLblPos val="low"/>
        <c:spPr>
          <a:noFill/>
          <a:ln w="9525" cap="flat" cmpd="sng" algn="ctr">
            <a:solidFill>
              <a:schemeClr val="tx1">
                <a:lumMod val="15000"/>
                <a:lumOff val="85000"/>
              </a:schemeClr>
            </a:solidFill>
            <a:round/>
          </a:ln>
          <a:effectLst/>
        </c:spPr>
        <c:txPr>
          <a:bodyPr rot="-1860000" spcFirstLastPara="1" vertOverflow="ellipsis" wrap="square" anchor="ctr" anchorCtr="1"/>
          <a:lstStyle/>
          <a:p>
            <a:pPr>
              <a:defRPr sz="800" b="1" i="1" u="none" strike="noStrike" kern="1200" baseline="0">
                <a:solidFill>
                  <a:schemeClr val="tx1">
                    <a:lumMod val="65000"/>
                    <a:lumOff val="35000"/>
                  </a:schemeClr>
                </a:solidFill>
                <a:latin typeface="Century Gothic" panose="020B0502020202020204" pitchFamily="34" charset="0"/>
                <a:ea typeface="Calibri Light" panose="020F0302020204030204" pitchFamily="34" charset="0"/>
                <a:cs typeface="Calibri Light" panose="020F0302020204030204" pitchFamily="34" charset="0"/>
              </a:defRPr>
            </a:pPr>
            <a:endParaRPr lang="ru-RU"/>
          </a:p>
        </c:txPr>
        <c:crossAx val="1886073808"/>
        <c:crosses val="autoZero"/>
        <c:auto val="0"/>
        <c:lblAlgn val="ctr"/>
        <c:lblOffset val="0"/>
        <c:noMultiLvlLbl val="1"/>
      </c:catAx>
      <c:valAx>
        <c:axId val="609893119"/>
        <c:scaling>
          <c:orientation val="minMax"/>
          <c:max val="100"/>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09883135"/>
        <c:crosses val="autoZero"/>
        <c:crossBetween val="between"/>
      </c:valAx>
      <c:dateAx>
        <c:axId val="609883135"/>
        <c:scaling>
          <c:orientation val="minMax"/>
        </c:scaling>
        <c:delete val="1"/>
        <c:axPos val="b"/>
        <c:numFmt formatCode="m/d/yyyy" sourceLinked="1"/>
        <c:majorTickMark val="out"/>
        <c:minorTickMark val="none"/>
        <c:tickLblPos val="nextTo"/>
        <c:crossAx val="609893119"/>
        <c:crosses val="autoZero"/>
        <c:auto val="1"/>
        <c:lblOffset val="100"/>
        <c:baseTimeUnit val="days"/>
      </c:dateAx>
      <c:spPr>
        <a:noFill/>
        <a:ln>
          <a:noFill/>
        </a:ln>
        <a:effectLst/>
      </c:spPr>
    </c:plotArea>
    <c:legend>
      <c:legendPos val="b"/>
      <c:layout>
        <c:manualLayout>
          <c:xMode val="edge"/>
          <c:yMode val="edge"/>
          <c:x val="0.17643982496740879"/>
          <c:y val="0.84715875252656925"/>
          <c:w val="0.5290097388236954"/>
          <c:h val="4.5283969355676065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290946</xdr:colOff>
      <xdr:row>5</xdr:row>
      <xdr:rowOff>309994</xdr:rowOff>
    </xdr:from>
    <xdr:to>
      <xdr:col>8</xdr:col>
      <xdr:colOff>242992</xdr:colOff>
      <xdr:row>29</xdr:row>
      <xdr:rowOff>36595</xdr:rowOff>
    </xdr:to>
    <xdr:grpSp>
      <xdr:nvGrpSpPr>
        <xdr:cNvPr id="2" name="Группа 1">
          <a:extLst>
            <a:ext uri="{FF2B5EF4-FFF2-40B4-BE49-F238E27FC236}">
              <a16:creationId xmlns:a16="http://schemas.microsoft.com/office/drawing/2014/main" id="{2B372F09-2A54-4E39-BCC6-F318E9769873}"/>
            </a:ext>
          </a:extLst>
        </xdr:cNvPr>
        <xdr:cNvGrpSpPr/>
      </xdr:nvGrpSpPr>
      <xdr:grpSpPr>
        <a:xfrm>
          <a:off x="290946" y="1507423"/>
          <a:ext cx="7887732" cy="7651401"/>
          <a:chOff x="-113420" y="378018"/>
          <a:chExt cx="6160741" cy="3509072"/>
        </a:xfrm>
        <a:effectLst/>
      </xdr:grpSpPr>
      <xdr:grpSp>
        <xdr:nvGrpSpPr>
          <xdr:cNvPr id="3" name="Группа 2">
            <a:extLst>
              <a:ext uri="{FF2B5EF4-FFF2-40B4-BE49-F238E27FC236}">
                <a16:creationId xmlns:a16="http://schemas.microsoft.com/office/drawing/2014/main" id="{F4B4039D-EDA7-D3AF-F991-7E98D044F64E}"/>
              </a:ext>
            </a:extLst>
          </xdr:cNvPr>
          <xdr:cNvGrpSpPr/>
        </xdr:nvGrpSpPr>
        <xdr:grpSpPr>
          <a:xfrm>
            <a:off x="-113420" y="551458"/>
            <a:ext cx="6160741" cy="3335632"/>
            <a:chOff x="-113447" y="556329"/>
            <a:chExt cx="6162199" cy="3325629"/>
          </a:xfrm>
        </xdr:grpSpPr>
        <xdr:sp macro="" textlink="">
          <xdr:nvSpPr>
            <xdr:cNvPr id="5" name="Прямоугольник 8">
              <a:extLst>
                <a:ext uri="{FF2B5EF4-FFF2-40B4-BE49-F238E27FC236}">
                  <a16:creationId xmlns:a16="http://schemas.microsoft.com/office/drawing/2014/main" id="{CB61F592-2CA0-01A7-AAFC-AD786FDC51E3}"/>
                </a:ext>
              </a:extLst>
            </xdr:cNvPr>
            <xdr:cNvSpPr/>
          </xdr:nvSpPr>
          <xdr:spPr>
            <a:xfrm>
              <a:off x="-37611" y="665780"/>
              <a:ext cx="6086363" cy="3216178"/>
            </a:xfrm>
            <a:custGeom>
              <a:avLst/>
              <a:gdLst>
                <a:gd name="connsiteX0" fmla="*/ 0 w 5674658"/>
                <a:gd name="connsiteY0" fmla="*/ 0 h 3693459"/>
                <a:gd name="connsiteX1" fmla="*/ 5674658 w 5674658"/>
                <a:gd name="connsiteY1" fmla="*/ 0 h 3693459"/>
                <a:gd name="connsiteX2" fmla="*/ 5674658 w 5674658"/>
                <a:gd name="connsiteY2" fmla="*/ 3693459 h 3693459"/>
                <a:gd name="connsiteX3" fmla="*/ 0 w 5674658"/>
                <a:gd name="connsiteY3" fmla="*/ 3693459 h 3693459"/>
                <a:gd name="connsiteX4" fmla="*/ 0 w 5674658"/>
                <a:gd name="connsiteY4" fmla="*/ 0 h 3693459"/>
                <a:gd name="connsiteX0" fmla="*/ 0 w 5853952"/>
                <a:gd name="connsiteY0" fmla="*/ 0 h 4007224"/>
                <a:gd name="connsiteX1" fmla="*/ 5674658 w 5853952"/>
                <a:gd name="connsiteY1" fmla="*/ 0 h 4007224"/>
                <a:gd name="connsiteX2" fmla="*/ 5853952 w 5853952"/>
                <a:gd name="connsiteY2" fmla="*/ 4007224 h 4007224"/>
                <a:gd name="connsiteX3" fmla="*/ 0 w 5853952"/>
                <a:gd name="connsiteY3" fmla="*/ 3693459 h 4007224"/>
                <a:gd name="connsiteX4" fmla="*/ 0 w 5853952"/>
                <a:gd name="connsiteY4" fmla="*/ 0 h 4007224"/>
                <a:gd name="connsiteX0" fmla="*/ 0 w 5773270"/>
                <a:gd name="connsiteY0" fmla="*/ 0 h 3899647"/>
                <a:gd name="connsiteX1" fmla="*/ 5674658 w 5773270"/>
                <a:gd name="connsiteY1" fmla="*/ 0 h 3899647"/>
                <a:gd name="connsiteX2" fmla="*/ 5773270 w 5773270"/>
                <a:gd name="connsiteY2" fmla="*/ 3899647 h 3899647"/>
                <a:gd name="connsiteX3" fmla="*/ 0 w 5773270"/>
                <a:gd name="connsiteY3" fmla="*/ 3693459 h 3899647"/>
                <a:gd name="connsiteX4" fmla="*/ 0 w 5773270"/>
                <a:gd name="connsiteY4" fmla="*/ 0 h 3899647"/>
                <a:gd name="connsiteX0" fmla="*/ 0 w 5773270"/>
                <a:gd name="connsiteY0" fmla="*/ 0 h 3899647"/>
                <a:gd name="connsiteX1" fmla="*/ 5674658 w 5773270"/>
                <a:gd name="connsiteY1" fmla="*/ 0 h 3899647"/>
                <a:gd name="connsiteX2" fmla="*/ 5773270 w 5773270"/>
                <a:gd name="connsiteY2" fmla="*/ 3899647 h 3899647"/>
                <a:gd name="connsiteX3" fmla="*/ 2985247 w 5773270"/>
                <a:gd name="connsiteY3" fmla="*/ 3778944 h 3899647"/>
                <a:gd name="connsiteX4" fmla="*/ 0 w 5773270"/>
                <a:gd name="connsiteY4" fmla="*/ 3693459 h 3899647"/>
                <a:gd name="connsiteX5" fmla="*/ 0 w 5773270"/>
                <a:gd name="connsiteY5" fmla="*/ 0 h 3899647"/>
                <a:gd name="connsiteX0" fmla="*/ 0 w 5773270"/>
                <a:gd name="connsiteY0" fmla="*/ 0 h 3899647"/>
                <a:gd name="connsiteX1" fmla="*/ 5674658 w 5773270"/>
                <a:gd name="connsiteY1" fmla="*/ 0 h 3899647"/>
                <a:gd name="connsiteX2" fmla="*/ 5773270 w 5773270"/>
                <a:gd name="connsiteY2" fmla="*/ 3899647 h 3899647"/>
                <a:gd name="connsiteX3" fmla="*/ 2985247 w 5773270"/>
                <a:gd name="connsiteY3" fmla="*/ 3667525 h 3899647"/>
                <a:gd name="connsiteX4" fmla="*/ 0 w 5773270"/>
                <a:gd name="connsiteY4" fmla="*/ 3693459 h 3899647"/>
                <a:gd name="connsiteX5" fmla="*/ 0 w 5773270"/>
                <a:gd name="connsiteY5" fmla="*/ 0 h 3899647"/>
                <a:gd name="connsiteX0" fmla="*/ 0 w 5773270"/>
                <a:gd name="connsiteY0" fmla="*/ 0 h 3899647"/>
                <a:gd name="connsiteX1" fmla="*/ 5674658 w 5773270"/>
                <a:gd name="connsiteY1" fmla="*/ 0 h 3899647"/>
                <a:gd name="connsiteX2" fmla="*/ 5773270 w 5773270"/>
                <a:gd name="connsiteY2" fmla="*/ 3899647 h 3899647"/>
                <a:gd name="connsiteX3" fmla="*/ 2985247 w 5773270"/>
                <a:gd name="connsiteY3" fmla="*/ 3667525 h 3899647"/>
                <a:gd name="connsiteX4" fmla="*/ 0 w 5773270"/>
                <a:gd name="connsiteY4" fmla="*/ 3693459 h 3899647"/>
                <a:gd name="connsiteX5" fmla="*/ 0 w 5773270"/>
                <a:gd name="connsiteY5" fmla="*/ 0 h 3899647"/>
                <a:gd name="connsiteX0" fmla="*/ 0 w 5773270"/>
                <a:gd name="connsiteY0" fmla="*/ 0 h 3899647"/>
                <a:gd name="connsiteX1" fmla="*/ 5674658 w 5773270"/>
                <a:gd name="connsiteY1" fmla="*/ 0 h 3899647"/>
                <a:gd name="connsiteX2" fmla="*/ 5773270 w 5773270"/>
                <a:gd name="connsiteY2" fmla="*/ 3899647 h 3899647"/>
                <a:gd name="connsiteX3" fmla="*/ 2985247 w 5773270"/>
                <a:gd name="connsiteY3" fmla="*/ 3667525 h 3899647"/>
                <a:gd name="connsiteX4" fmla="*/ 0 w 5773270"/>
                <a:gd name="connsiteY4" fmla="*/ 3693459 h 3899647"/>
                <a:gd name="connsiteX5" fmla="*/ 0 w 5773270"/>
                <a:gd name="connsiteY5" fmla="*/ 0 h 3899647"/>
                <a:gd name="connsiteX0" fmla="*/ 0 w 5773270"/>
                <a:gd name="connsiteY0" fmla="*/ 0 h 3899647"/>
                <a:gd name="connsiteX1" fmla="*/ 5674658 w 5773270"/>
                <a:gd name="connsiteY1" fmla="*/ 0 h 3899647"/>
                <a:gd name="connsiteX2" fmla="*/ 5773270 w 5773270"/>
                <a:gd name="connsiteY2" fmla="*/ 3899647 h 3899647"/>
                <a:gd name="connsiteX3" fmla="*/ 2985247 w 5773270"/>
                <a:gd name="connsiteY3" fmla="*/ 3667525 h 3899647"/>
                <a:gd name="connsiteX4" fmla="*/ 0 w 5773270"/>
                <a:gd name="connsiteY4" fmla="*/ 3693459 h 3899647"/>
                <a:gd name="connsiteX5" fmla="*/ 0 w 5773270"/>
                <a:gd name="connsiteY5" fmla="*/ 0 h 3899647"/>
                <a:gd name="connsiteX0" fmla="*/ 0 w 5773270"/>
                <a:gd name="connsiteY0" fmla="*/ 0 h 3899647"/>
                <a:gd name="connsiteX1" fmla="*/ 5674658 w 5773270"/>
                <a:gd name="connsiteY1" fmla="*/ 0 h 3899647"/>
                <a:gd name="connsiteX2" fmla="*/ 5773270 w 5773270"/>
                <a:gd name="connsiteY2" fmla="*/ 3899647 h 3899647"/>
                <a:gd name="connsiteX3" fmla="*/ 2916404 w 5773270"/>
                <a:gd name="connsiteY3" fmla="*/ 3844876 h 3899647"/>
                <a:gd name="connsiteX4" fmla="*/ 0 w 5773270"/>
                <a:gd name="connsiteY4" fmla="*/ 3693459 h 3899647"/>
                <a:gd name="connsiteX5" fmla="*/ 0 w 5773270"/>
                <a:gd name="connsiteY5" fmla="*/ 0 h 3899647"/>
                <a:gd name="connsiteX0" fmla="*/ 0 w 5773270"/>
                <a:gd name="connsiteY0" fmla="*/ 0 h 3899647"/>
                <a:gd name="connsiteX1" fmla="*/ 5674658 w 5773270"/>
                <a:gd name="connsiteY1" fmla="*/ 0 h 3899647"/>
                <a:gd name="connsiteX2" fmla="*/ 5773270 w 5773270"/>
                <a:gd name="connsiteY2" fmla="*/ 3899647 h 3899647"/>
                <a:gd name="connsiteX3" fmla="*/ 2916404 w 5773270"/>
                <a:gd name="connsiteY3" fmla="*/ 3844876 h 3899647"/>
                <a:gd name="connsiteX4" fmla="*/ 0 w 5773270"/>
                <a:gd name="connsiteY4" fmla="*/ 3693459 h 3899647"/>
                <a:gd name="connsiteX5" fmla="*/ 0 w 5773270"/>
                <a:gd name="connsiteY5" fmla="*/ 0 h 3899647"/>
                <a:gd name="connsiteX0" fmla="*/ 0 w 5773270"/>
                <a:gd name="connsiteY0" fmla="*/ 0 h 3899647"/>
                <a:gd name="connsiteX1" fmla="*/ 5674658 w 5773270"/>
                <a:gd name="connsiteY1" fmla="*/ 0 h 3899647"/>
                <a:gd name="connsiteX2" fmla="*/ 5773270 w 5773270"/>
                <a:gd name="connsiteY2" fmla="*/ 3899647 h 3899647"/>
                <a:gd name="connsiteX3" fmla="*/ 2916404 w 5773270"/>
                <a:gd name="connsiteY3" fmla="*/ 3844876 h 3899647"/>
                <a:gd name="connsiteX4" fmla="*/ 0 w 5773270"/>
                <a:gd name="connsiteY4" fmla="*/ 3693459 h 3899647"/>
                <a:gd name="connsiteX5" fmla="*/ 0 w 5773270"/>
                <a:gd name="connsiteY5" fmla="*/ 0 h 3899647"/>
                <a:gd name="connsiteX0" fmla="*/ 0 w 5773270"/>
                <a:gd name="connsiteY0" fmla="*/ 0 h 3899647"/>
                <a:gd name="connsiteX1" fmla="*/ 5674658 w 5773270"/>
                <a:gd name="connsiteY1" fmla="*/ 0 h 3899647"/>
                <a:gd name="connsiteX2" fmla="*/ 5773270 w 5773270"/>
                <a:gd name="connsiteY2" fmla="*/ 3899647 h 3899647"/>
                <a:gd name="connsiteX3" fmla="*/ 2936073 w 5773270"/>
                <a:gd name="connsiteY3" fmla="*/ 3750984 h 3899647"/>
                <a:gd name="connsiteX4" fmla="*/ 0 w 5773270"/>
                <a:gd name="connsiteY4" fmla="*/ 3693459 h 3899647"/>
                <a:gd name="connsiteX5" fmla="*/ 0 w 5773270"/>
                <a:gd name="connsiteY5" fmla="*/ 0 h 3899647"/>
                <a:gd name="connsiteX0" fmla="*/ 0 w 5773270"/>
                <a:gd name="connsiteY0" fmla="*/ 0 h 3899647"/>
                <a:gd name="connsiteX1" fmla="*/ 5595980 w 5773270"/>
                <a:gd name="connsiteY1" fmla="*/ 187783 h 3899647"/>
                <a:gd name="connsiteX2" fmla="*/ 5773270 w 5773270"/>
                <a:gd name="connsiteY2" fmla="*/ 3899647 h 3899647"/>
                <a:gd name="connsiteX3" fmla="*/ 2936073 w 5773270"/>
                <a:gd name="connsiteY3" fmla="*/ 3750984 h 3899647"/>
                <a:gd name="connsiteX4" fmla="*/ 0 w 5773270"/>
                <a:gd name="connsiteY4" fmla="*/ 3693459 h 3899647"/>
                <a:gd name="connsiteX5" fmla="*/ 0 w 5773270"/>
                <a:gd name="connsiteY5" fmla="*/ 0 h 3899647"/>
                <a:gd name="connsiteX0" fmla="*/ 39339 w 5773270"/>
                <a:gd name="connsiteY0" fmla="*/ 62595 h 3711864"/>
                <a:gd name="connsiteX1" fmla="*/ 5595980 w 5773270"/>
                <a:gd name="connsiteY1" fmla="*/ 0 h 3711864"/>
                <a:gd name="connsiteX2" fmla="*/ 5773270 w 5773270"/>
                <a:gd name="connsiteY2" fmla="*/ 3711864 h 3711864"/>
                <a:gd name="connsiteX3" fmla="*/ 2936073 w 5773270"/>
                <a:gd name="connsiteY3" fmla="*/ 3563201 h 3711864"/>
                <a:gd name="connsiteX4" fmla="*/ 0 w 5773270"/>
                <a:gd name="connsiteY4" fmla="*/ 3505676 h 3711864"/>
                <a:gd name="connsiteX5" fmla="*/ 39339 w 5773270"/>
                <a:gd name="connsiteY5" fmla="*/ 62595 h 3711864"/>
                <a:gd name="connsiteX0" fmla="*/ 39339 w 5773270"/>
                <a:gd name="connsiteY0" fmla="*/ 73027 h 3722296"/>
                <a:gd name="connsiteX1" fmla="*/ 5723832 w 5773270"/>
                <a:gd name="connsiteY1" fmla="*/ 0 h 3722296"/>
                <a:gd name="connsiteX2" fmla="*/ 5773270 w 5773270"/>
                <a:gd name="connsiteY2" fmla="*/ 3722296 h 3722296"/>
                <a:gd name="connsiteX3" fmla="*/ 2936073 w 5773270"/>
                <a:gd name="connsiteY3" fmla="*/ 3573633 h 3722296"/>
                <a:gd name="connsiteX4" fmla="*/ 0 w 5773270"/>
                <a:gd name="connsiteY4" fmla="*/ 3516108 h 3722296"/>
                <a:gd name="connsiteX5" fmla="*/ 39339 w 5773270"/>
                <a:gd name="connsiteY5" fmla="*/ 73027 h 3722296"/>
                <a:gd name="connsiteX0" fmla="*/ 39339 w 5773270"/>
                <a:gd name="connsiteY0" fmla="*/ 41730 h 3690999"/>
                <a:gd name="connsiteX1" fmla="*/ 5625484 w 5773270"/>
                <a:gd name="connsiteY1" fmla="*/ 0 h 3690999"/>
                <a:gd name="connsiteX2" fmla="*/ 5773270 w 5773270"/>
                <a:gd name="connsiteY2" fmla="*/ 3690999 h 3690999"/>
                <a:gd name="connsiteX3" fmla="*/ 2936073 w 5773270"/>
                <a:gd name="connsiteY3" fmla="*/ 3542336 h 3690999"/>
                <a:gd name="connsiteX4" fmla="*/ 0 w 5773270"/>
                <a:gd name="connsiteY4" fmla="*/ 3484811 h 3690999"/>
                <a:gd name="connsiteX5" fmla="*/ 39339 w 5773270"/>
                <a:gd name="connsiteY5" fmla="*/ 41730 h 3690999"/>
                <a:gd name="connsiteX0" fmla="*/ 39339 w 5773270"/>
                <a:gd name="connsiteY0" fmla="*/ 41730 h 3690999"/>
                <a:gd name="connsiteX1" fmla="*/ 5625484 w 5773270"/>
                <a:gd name="connsiteY1" fmla="*/ 0 h 3690999"/>
                <a:gd name="connsiteX2" fmla="*/ 5773270 w 5773270"/>
                <a:gd name="connsiteY2" fmla="*/ 3690999 h 3690999"/>
                <a:gd name="connsiteX3" fmla="*/ 2936073 w 5773270"/>
                <a:gd name="connsiteY3" fmla="*/ 3542336 h 3690999"/>
                <a:gd name="connsiteX4" fmla="*/ 0 w 5773270"/>
                <a:gd name="connsiteY4" fmla="*/ 3484811 h 3690999"/>
                <a:gd name="connsiteX5" fmla="*/ 39339 w 5773270"/>
                <a:gd name="connsiteY5" fmla="*/ 41730 h 3690999"/>
                <a:gd name="connsiteX0" fmla="*/ 39339 w 5773270"/>
                <a:gd name="connsiteY0" fmla="*/ 20865 h 3670134"/>
                <a:gd name="connsiteX1" fmla="*/ 5713997 w 5773270"/>
                <a:gd name="connsiteY1" fmla="*/ 0 h 3670134"/>
                <a:gd name="connsiteX2" fmla="*/ 5773270 w 5773270"/>
                <a:gd name="connsiteY2" fmla="*/ 3670134 h 3670134"/>
                <a:gd name="connsiteX3" fmla="*/ 2936073 w 5773270"/>
                <a:gd name="connsiteY3" fmla="*/ 3521471 h 3670134"/>
                <a:gd name="connsiteX4" fmla="*/ 0 w 5773270"/>
                <a:gd name="connsiteY4" fmla="*/ 3463946 h 3670134"/>
                <a:gd name="connsiteX5" fmla="*/ 39339 w 5773270"/>
                <a:gd name="connsiteY5" fmla="*/ 20865 h 3670134"/>
                <a:gd name="connsiteX0" fmla="*/ 39339 w 5773270"/>
                <a:gd name="connsiteY0" fmla="*/ 20865 h 3670134"/>
                <a:gd name="connsiteX1" fmla="*/ 5713997 w 5773270"/>
                <a:gd name="connsiteY1" fmla="*/ 0 h 3670134"/>
                <a:gd name="connsiteX2" fmla="*/ 5773270 w 5773270"/>
                <a:gd name="connsiteY2" fmla="*/ 3670134 h 3670134"/>
                <a:gd name="connsiteX3" fmla="*/ 2936073 w 5773270"/>
                <a:gd name="connsiteY3" fmla="*/ 3521471 h 3670134"/>
                <a:gd name="connsiteX4" fmla="*/ 0 w 5773270"/>
                <a:gd name="connsiteY4" fmla="*/ 3463946 h 3670134"/>
                <a:gd name="connsiteX5" fmla="*/ 39339 w 5773270"/>
                <a:gd name="connsiteY5" fmla="*/ 20865 h 3670134"/>
                <a:gd name="connsiteX0" fmla="*/ 39339 w 5773270"/>
                <a:gd name="connsiteY0" fmla="*/ 20865 h 3670134"/>
                <a:gd name="connsiteX1" fmla="*/ 5713997 w 5773270"/>
                <a:gd name="connsiteY1" fmla="*/ 0 h 3670134"/>
                <a:gd name="connsiteX2" fmla="*/ 5773270 w 5773270"/>
                <a:gd name="connsiteY2" fmla="*/ 3670134 h 3670134"/>
                <a:gd name="connsiteX3" fmla="*/ 2936073 w 5773270"/>
                <a:gd name="connsiteY3" fmla="*/ 3521471 h 3670134"/>
                <a:gd name="connsiteX4" fmla="*/ 0 w 5773270"/>
                <a:gd name="connsiteY4" fmla="*/ 3463946 h 3670134"/>
                <a:gd name="connsiteX5" fmla="*/ 39339 w 5773270"/>
                <a:gd name="connsiteY5" fmla="*/ 20865 h 3670134"/>
                <a:gd name="connsiteX0" fmla="*/ 0 w 5733931"/>
                <a:gd name="connsiteY0" fmla="*/ 20865 h 3670134"/>
                <a:gd name="connsiteX1" fmla="*/ 5674658 w 5733931"/>
                <a:gd name="connsiteY1" fmla="*/ 0 h 3670134"/>
                <a:gd name="connsiteX2" fmla="*/ 5733931 w 5733931"/>
                <a:gd name="connsiteY2" fmla="*/ 3670134 h 3670134"/>
                <a:gd name="connsiteX3" fmla="*/ 2896734 w 5733931"/>
                <a:gd name="connsiteY3" fmla="*/ 3521471 h 3670134"/>
                <a:gd name="connsiteX4" fmla="*/ 0 w 5733931"/>
                <a:gd name="connsiteY4" fmla="*/ 3349189 h 3670134"/>
                <a:gd name="connsiteX5" fmla="*/ 0 w 5733931"/>
                <a:gd name="connsiteY5" fmla="*/ 20865 h 3670134"/>
                <a:gd name="connsiteX0" fmla="*/ 0 w 5733931"/>
                <a:gd name="connsiteY0" fmla="*/ 20865 h 3670134"/>
                <a:gd name="connsiteX1" fmla="*/ 5674658 w 5733931"/>
                <a:gd name="connsiteY1" fmla="*/ 0 h 3670134"/>
                <a:gd name="connsiteX2" fmla="*/ 5733931 w 5733931"/>
                <a:gd name="connsiteY2" fmla="*/ 3670134 h 3670134"/>
                <a:gd name="connsiteX3" fmla="*/ 2896734 w 5733931"/>
                <a:gd name="connsiteY3" fmla="*/ 3521471 h 3670134"/>
                <a:gd name="connsiteX4" fmla="*/ 0 w 5733931"/>
                <a:gd name="connsiteY4" fmla="*/ 3349189 h 3670134"/>
                <a:gd name="connsiteX5" fmla="*/ 0 w 5733931"/>
                <a:gd name="connsiteY5" fmla="*/ 20865 h 3670134"/>
                <a:gd name="connsiteX0" fmla="*/ 0 w 5733931"/>
                <a:gd name="connsiteY0" fmla="*/ 0 h 3649269"/>
                <a:gd name="connsiteX1" fmla="*/ 5509584 w 5733931"/>
                <a:gd name="connsiteY1" fmla="*/ 9522 h 3649269"/>
                <a:gd name="connsiteX2" fmla="*/ 5733931 w 5733931"/>
                <a:gd name="connsiteY2" fmla="*/ 3649269 h 3649269"/>
                <a:gd name="connsiteX3" fmla="*/ 2896734 w 5733931"/>
                <a:gd name="connsiteY3" fmla="*/ 3500606 h 3649269"/>
                <a:gd name="connsiteX4" fmla="*/ 0 w 5733931"/>
                <a:gd name="connsiteY4" fmla="*/ 3328324 h 3649269"/>
                <a:gd name="connsiteX5" fmla="*/ 0 w 5733931"/>
                <a:gd name="connsiteY5" fmla="*/ 0 h 3649269"/>
                <a:gd name="connsiteX0" fmla="*/ 0 w 5733931"/>
                <a:gd name="connsiteY0" fmla="*/ 0 h 3649269"/>
                <a:gd name="connsiteX1" fmla="*/ 5509584 w 5733931"/>
                <a:gd name="connsiteY1" fmla="*/ 9522 h 3649269"/>
                <a:gd name="connsiteX2" fmla="*/ 5733931 w 5733931"/>
                <a:gd name="connsiteY2" fmla="*/ 3649269 h 3649269"/>
                <a:gd name="connsiteX3" fmla="*/ 2896734 w 5733931"/>
                <a:gd name="connsiteY3" fmla="*/ 3500606 h 3649269"/>
                <a:gd name="connsiteX4" fmla="*/ 0 w 5733931"/>
                <a:gd name="connsiteY4" fmla="*/ 3328324 h 3649269"/>
                <a:gd name="connsiteX5" fmla="*/ 0 w 5733931"/>
                <a:gd name="connsiteY5" fmla="*/ 0 h 3649269"/>
                <a:gd name="connsiteX0" fmla="*/ 0 w 5733931"/>
                <a:gd name="connsiteY0" fmla="*/ 0 h 3649269"/>
                <a:gd name="connsiteX1" fmla="*/ 5509584 w 5733931"/>
                <a:gd name="connsiteY1" fmla="*/ 9522 h 3649269"/>
                <a:gd name="connsiteX2" fmla="*/ 5733931 w 5733931"/>
                <a:gd name="connsiteY2" fmla="*/ 3649269 h 3649269"/>
                <a:gd name="connsiteX3" fmla="*/ 2927685 w 5733931"/>
                <a:gd name="connsiteY3" fmla="*/ 3419578 h 3649269"/>
                <a:gd name="connsiteX4" fmla="*/ 0 w 5733931"/>
                <a:gd name="connsiteY4" fmla="*/ 3328324 h 3649269"/>
                <a:gd name="connsiteX5" fmla="*/ 0 w 5733931"/>
                <a:gd name="connsiteY5" fmla="*/ 0 h 3649269"/>
                <a:gd name="connsiteX0" fmla="*/ 0 w 5733931"/>
                <a:gd name="connsiteY0" fmla="*/ 0 h 3649269"/>
                <a:gd name="connsiteX1" fmla="*/ 5509584 w 5733931"/>
                <a:gd name="connsiteY1" fmla="*/ 9522 h 3649269"/>
                <a:gd name="connsiteX2" fmla="*/ 5733931 w 5733931"/>
                <a:gd name="connsiteY2" fmla="*/ 3649269 h 3649269"/>
                <a:gd name="connsiteX3" fmla="*/ 2927685 w 5733931"/>
                <a:gd name="connsiteY3" fmla="*/ 3419578 h 3649269"/>
                <a:gd name="connsiteX4" fmla="*/ 0 w 5733931"/>
                <a:gd name="connsiteY4" fmla="*/ 3328324 h 3649269"/>
                <a:gd name="connsiteX5" fmla="*/ 0 w 5733931"/>
                <a:gd name="connsiteY5" fmla="*/ 0 h 36492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33931" h="3649269">
                  <a:moveTo>
                    <a:pt x="0" y="0"/>
                  </a:moveTo>
                  <a:lnTo>
                    <a:pt x="5509584" y="9522"/>
                  </a:lnTo>
                  <a:cubicBezTo>
                    <a:pt x="5554516" y="1735615"/>
                    <a:pt x="5606798" y="1926353"/>
                    <a:pt x="5733931" y="3649269"/>
                  </a:cubicBezTo>
                  <a:cubicBezTo>
                    <a:pt x="4364110" y="3561253"/>
                    <a:pt x="4468335" y="3493610"/>
                    <a:pt x="2927685" y="3419578"/>
                  </a:cubicBezTo>
                  <a:lnTo>
                    <a:pt x="0" y="3328324"/>
                  </a:lnTo>
                  <a:lnTo>
                    <a:pt x="0" y="0"/>
                  </a:lnTo>
                  <a:close/>
                </a:path>
              </a:pathLst>
            </a:custGeom>
            <a:gradFill>
              <a:gsLst>
                <a:gs pos="0">
                  <a:srgbClr val="FFFFFF"/>
                </a:gs>
                <a:gs pos="50000">
                  <a:srgbClr val="E4E4E5">
                    <a:lumMod val="62000"/>
                  </a:srgbClr>
                </a:gs>
                <a:gs pos="100000">
                  <a:schemeClr val="tx2">
                    <a:lumMod val="76000"/>
                  </a:schemeClr>
                </a:gs>
              </a:gsLst>
              <a:lin ang="14400000" scaled="0"/>
            </a:gradFill>
            <a:ln>
              <a:noFill/>
            </a:ln>
            <a:effectLst>
              <a:softEdge rad="139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6" name="Диаграмма 5">
              <a:extLst>
                <a:ext uri="{FF2B5EF4-FFF2-40B4-BE49-F238E27FC236}">
                  <a16:creationId xmlns:a16="http://schemas.microsoft.com/office/drawing/2014/main" id="{68BE4BDF-339A-244F-A279-47078C05CA72}"/>
                </a:ext>
              </a:extLst>
            </xdr:cNvPr>
            <xdr:cNvGraphicFramePr/>
          </xdr:nvGraphicFramePr>
          <xdr:xfrm>
            <a:off x="-113447" y="556329"/>
            <a:ext cx="5990956" cy="3021067"/>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
        <xdr:nvSpPr>
          <xdr:cNvPr id="4" name="TextBox 3">
            <a:extLst>
              <a:ext uri="{FF2B5EF4-FFF2-40B4-BE49-F238E27FC236}">
                <a16:creationId xmlns:a16="http://schemas.microsoft.com/office/drawing/2014/main" id="{AAC4F035-07A3-AC2A-70AA-F2766868F1D6}"/>
              </a:ext>
            </a:extLst>
          </xdr:cNvPr>
          <xdr:cNvSpPr txBox="1"/>
        </xdr:nvSpPr>
        <xdr:spPr>
          <a:xfrm>
            <a:off x="50779" y="378018"/>
            <a:ext cx="5464628" cy="166439"/>
          </a:xfrm>
          <a:prstGeom prst="rect">
            <a:avLst/>
          </a:prstGeom>
          <a:gradFill>
            <a:gsLst>
              <a:gs pos="6000">
                <a:srgbClr val="FFFFFF"/>
              </a:gs>
              <a:gs pos="78000">
                <a:srgbClr val="9CBEB8"/>
              </a:gs>
            </a:gsLst>
            <a:lin ang="10800000" scaled="0"/>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ru-RU" sz="1400" b="1">
                <a:solidFill>
                  <a:srgbClr val="FFFFFF"/>
                </a:solidFill>
                <a:latin typeface="Calibri Light" panose="020F0302020204030204" pitchFamily="34" charset="0"/>
                <a:ea typeface="Calibri Light" panose="020F0302020204030204" pitchFamily="34" charset="0"/>
                <a:cs typeface="Calibri Light" panose="020F0302020204030204" pitchFamily="34" charset="0"/>
              </a:rPr>
              <a:t>ДИНАМИКА АТТЕСТАЦИИ ЭКСПЕРТОВ</a:t>
            </a:r>
          </a:p>
        </xdr:txBody>
      </xdr:sp>
    </xdr:grpSp>
    <xdr:clientData/>
  </xdr:twoCellAnchor>
  <xdr:twoCellAnchor>
    <xdr:from>
      <xdr:col>12</xdr:col>
      <xdr:colOff>422413</xdr:colOff>
      <xdr:row>4</xdr:row>
      <xdr:rowOff>11206</xdr:rowOff>
    </xdr:from>
    <xdr:to>
      <xdr:col>15</xdr:col>
      <xdr:colOff>596347</xdr:colOff>
      <xdr:row>5</xdr:row>
      <xdr:rowOff>173934</xdr:rowOff>
    </xdr:to>
    <xdr:sp macro="" textlink="">
      <xdr:nvSpPr>
        <xdr:cNvPr id="7" name="Выноска: изогнутая линия 6">
          <a:extLst>
            <a:ext uri="{FF2B5EF4-FFF2-40B4-BE49-F238E27FC236}">
              <a16:creationId xmlns:a16="http://schemas.microsoft.com/office/drawing/2014/main" id="{E2FA7CFC-DBE5-4CE4-8226-3BA71A50156A}"/>
            </a:ext>
          </a:extLst>
        </xdr:cNvPr>
        <xdr:cNvSpPr/>
      </xdr:nvSpPr>
      <xdr:spPr>
        <a:xfrm>
          <a:off x="13058361" y="932232"/>
          <a:ext cx="2241273" cy="434398"/>
        </a:xfrm>
        <a:prstGeom prst="borderCallout2">
          <a:avLst>
            <a:gd name="adj1" fmla="val 6060"/>
            <a:gd name="adj2" fmla="val -24"/>
            <a:gd name="adj3" fmla="val 8496"/>
            <a:gd name="adj4" fmla="val -26414"/>
            <a:gd name="adj5" fmla="val 151011"/>
            <a:gd name="adj6" fmla="val -35951"/>
          </a:avLst>
        </a:prstGeom>
        <a:solidFill>
          <a:srgbClr val="FFFFFF">
            <a:alpha val="97000"/>
          </a:srgbClr>
        </a:solidFill>
        <a:ln w="6350">
          <a:solidFill>
            <a:schemeClr val="tx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7200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ru-RU" sz="1200">
              <a:solidFill>
                <a:schemeClr val="accent2">
                  <a:lumMod val="50000"/>
                </a:schemeClr>
              </a:solidFill>
              <a:effectLst/>
              <a:latin typeface="+mn-lt"/>
              <a:ea typeface="+mn-ea"/>
              <a:cs typeface="+mn-cs"/>
            </a:rPr>
            <a:t>*- Дефицит общий</a:t>
          </a:r>
          <a:r>
            <a:rPr lang="ru-RU" sz="1200" baseline="0">
              <a:solidFill>
                <a:schemeClr val="accent2">
                  <a:lumMod val="50000"/>
                </a:schemeClr>
              </a:solidFill>
              <a:effectLst/>
              <a:latin typeface="+mn-lt"/>
              <a:ea typeface="+mn-ea"/>
              <a:cs typeface="+mn-cs"/>
            </a:rPr>
            <a:t> </a:t>
          </a:r>
          <a:r>
            <a:rPr lang="ru-RU" sz="1200" i="1" baseline="0">
              <a:solidFill>
                <a:schemeClr val="accent2">
                  <a:lumMod val="50000"/>
                </a:schemeClr>
              </a:solidFill>
              <a:effectLst/>
              <a:latin typeface="+mn-lt"/>
              <a:ea typeface="+mn-ea"/>
              <a:cs typeface="+mn-cs"/>
            </a:rPr>
            <a:t>(</a:t>
          </a:r>
          <a:r>
            <a:rPr lang="ru-RU" sz="1200" i="1">
              <a:solidFill>
                <a:schemeClr val="accent2">
                  <a:lumMod val="50000"/>
                </a:schemeClr>
              </a:solidFill>
              <a:effectLst/>
              <a:latin typeface="+mn-lt"/>
              <a:ea typeface="+mn-ea"/>
              <a:cs typeface="+mn-cs"/>
            </a:rPr>
            <a:t>Корректно при свернутых строках)</a:t>
          </a:r>
          <a:endParaRPr lang="ru-RU" sz="900" i="1">
            <a:solidFill>
              <a:schemeClr val="accent2">
                <a:lumMod val="50000"/>
              </a:schemeClr>
            </a:solidFill>
            <a:effectLst/>
          </a:endParaRPr>
        </a:p>
        <a:p>
          <a:pPr marL="0" indent="0" algn="l"/>
          <a:endParaRPr lang="ru-RU" sz="700">
            <a:solidFill>
              <a:schemeClr val="lt1"/>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ROSAH\&#1040;&#1090;&#1090;&#1077;&#1089;&#1090;&#1072;&#1094;&#1080;&#1103;\&#1040;&#1090;&#1090;&#1077;&#1089;&#1090;&#1072;&#1094;&#1080;&#1103;_report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able"/>
      <sheetName val="Service"/>
      <sheetName val="AttestDinamic"/>
      <sheetName val="Расчет"/>
      <sheetName val="ДопКандидаты"/>
      <sheetName val="Кандидаты_резерв"/>
      <sheetName val="FilialsFullnData"/>
      <sheetName val="DIN_numering"/>
    </sheetNames>
    <sheetDataSet>
      <sheetData sheetId="0"/>
      <sheetData sheetId="1"/>
      <sheetData sheetId="2">
        <row r="9">
          <cell r="D9" t="str">
            <v>Эксперты</v>
          </cell>
          <cell r="E9" t="str">
            <v>% экспертов</v>
          </cell>
          <cell r="F9" t="str">
            <v>Кандидаты</v>
          </cell>
        </row>
        <row r="10">
          <cell r="B10">
            <v>46000</v>
          </cell>
          <cell r="D10">
            <v>27</v>
          </cell>
          <cell r="E10">
            <v>18.239999999999998</v>
          </cell>
          <cell r="F10">
            <v>117</v>
          </cell>
        </row>
        <row r="11">
          <cell r="B11">
            <v>46001</v>
          </cell>
          <cell r="D11">
            <v>28</v>
          </cell>
          <cell r="E11">
            <v>18.79</v>
          </cell>
          <cell r="F11">
            <v>117</v>
          </cell>
        </row>
        <row r="12">
          <cell r="B12">
            <v>46002</v>
          </cell>
          <cell r="D12">
            <v>28</v>
          </cell>
          <cell r="E12">
            <v>18.79</v>
          </cell>
          <cell r="F12">
            <v>118</v>
          </cell>
        </row>
        <row r="13">
          <cell r="B13">
            <v>46020</v>
          </cell>
          <cell r="D13">
            <v>34</v>
          </cell>
          <cell r="E13">
            <v>22.97</v>
          </cell>
          <cell r="F13">
            <v>108</v>
          </cell>
        </row>
        <row r="14">
          <cell r="B14">
            <v>46034</v>
          </cell>
          <cell r="D14">
            <v>34</v>
          </cell>
          <cell r="E14">
            <v>22.97</v>
          </cell>
          <cell r="F14">
            <v>108</v>
          </cell>
        </row>
        <row r="15">
          <cell r="B15">
            <v>46037</v>
          </cell>
          <cell r="D15">
            <v>36</v>
          </cell>
          <cell r="E15">
            <v>24.32</v>
          </cell>
          <cell r="F15">
            <v>106</v>
          </cell>
        </row>
        <row r="16">
          <cell r="B16">
            <v>46049</v>
          </cell>
          <cell r="D16">
            <v>37</v>
          </cell>
          <cell r="E16">
            <v>24.83</v>
          </cell>
          <cell r="F16">
            <v>104</v>
          </cell>
        </row>
        <row r="17">
          <cell r="B17">
            <v>46118</v>
          </cell>
          <cell r="D17">
            <v>41</v>
          </cell>
          <cell r="E17">
            <v>26.62</v>
          </cell>
          <cell r="F17">
            <v>104</v>
          </cell>
        </row>
        <row r="18">
          <cell r="B18">
            <v>46122</v>
          </cell>
          <cell r="D18">
            <v>46</v>
          </cell>
          <cell r="E18">
            <v>29.87</v>
          </cell>
          <cell r="F18">
            <v>98</v>
          </cell>
        </row>
        <row r="19">
          <cell r="B19">
            <v>46133</v>
          </cell>
          <cell r="D19">
            <v>53</v>
          </cell>
          <cell r="E19">
            <v>34.64</v>
          </cell>
          <cell r="F19">
            <v>90</v>
          </cell>
        </row>
        <row r="20">
          <cell r="B20">
            <v>46148</v>
          </cell>
          <cell r="D20">
            <v>58</v>
          </cell>
          <cell r="E20">
            <v>37.42</v>
          </cell>
          <cell r="F20">
            <v>82</v>
          </cell>
        </row>
        <row r="21">
          <cell r="B21">
            <v>46157</v>
          </cell>
          <cell r="D21">
            <v>61</v>
          </cell>
          <cell r="E21">
            <v>30.65</v>
          </cell>
          <cell r="F21">
            <v>120</v>
          </cell>
        </row>
        <row r="32">
          <cell r="D32" t="str">
            <v>Дефицит</v>
          </cell>
        </row>
        <row r="33">
          <cell r="C33" t="str">
            <v>Липецкая область</v>
          </cell>
          <cell r="D33">
            <v>-2</v>
          </cell>
        </row>
        <row r="34">
          <cell r="C34" t="str">
            <v>Омская область</v>
          </cell>
          <cell r="D34">
            <v>-4</v>
          </cell>
        </row>
        <row r="35">
          <cell r="C35" t="str">
            <v>Орловская область</v>
          </cell>
          <cell r="D35">
            <v>-3</v>
          </cell>
        </row>
        <row r="36">
          <cell r="C36" t="str">
            <v>Пензенская область</v>
          </cell>
          <cell r="D36">
            <v>-3</v>
          </cell>
        </row>
        <row r="37">
          <cell r="C37" t="str">
            <v>Приморский край</v>
          </cell>
          <cell r="D37">
            <v>-3</v>
          </cell>
        </row>
        <row r="38">
          <cell r="C38" t="str">
            <v>Республика Мордовия</v>
          </cell>
          <cell r="D38">
            <v>-1</v>
          </cell>
        </row>
        <row r="39">
          <cell r="C39" t="str">
            <v>Самарская область</v>
          </cell>
          <cell r="D39">
            <v>-3</v>
          </cell>
        </row>
        <row r="40">
          <cell r="C40" t="str">
            <v>Свердловская область</v>
          </cell>
          <cell r="D40">
            <v>-1</v>
          </cell>
        </row>
        <row r="41">
          <cell r="C41" t="str">
            <v>Тамбовская область</v>
          </cell>
          <cell r="D41">
            <v>-2</v>
          </cell>
        </row>
        <row r="42">
          <cell r="C42" t="str">
            <v>Чувашская Республика</v>
          </cell>
          <cell r="D42">
            <v>-1</v>
          </cell>
        </row>
        <row r="43">
          <cell r="D43" t="e">
            <v>#N/A</v>
          </cell>
        </row>
        <row r="44">
          <cell r="D44" t="e">
            <v>#N/A</v>
          </cell>
        </row>
      </sheetData>
      <sheetData sheetId="3"/>
      <sheetData sheetId="4"/>
      <sheetData sheetId="5"/>
      <sheetData sheetId="6"/>
      <sheetData sheetId="7"/>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РАХС - АСД" refreshedDate="46157.673398726853" backgroundQuery="1" createdVersion="7" refreshedVersion="7" minRefreshableVersion="3" recordCount="0" supportSubquery="1" supportAdvancedDrill="1" xr:uid="{EAC1AFD1-F627-4258-BBA9-8C8104EB09B9}">
  <cacheSource type="external" connectionId="1"/>
  <cacheFields count="8">
    <cacheField name="[MainQuery2Source 1].[Субъект].[Субъект]" caption="Субъект" numFmtId="0" hierarchy="4" level="1">
      <sharedItems count="81">
        <s v="Алтайский край"/>
        <s v="Амурская область"/>
        <s v="Архангельская область"/>
        <s v="Астраханская область"/>
        <s v="Белгородская область"/>
        <s v="Брянская область"/>
        <s v="Владимирская область"/>
        <s v="Волгоградская область"/>
        <s v="Вологодская область"/>
        <s v="Воронежская область"/>
        <s v="Донецкая Народная Республика"/>
        <s v="Забайкальский край"/>
        <s v="Запорожская область"/>
        <s v="Ивановская область"/>
        <s v="Иркутская область"/>
        <s v="Кабардино-Балкарская Республика"/>
        <s v="Калининградская область"/>
        <s v="Калужская область"/>
        <s v="Камчатский край"/>
        <s v="Карачаево-Черкесская Республика"/>
        <s v="Кемеровская область"/>
        <s v="Кировская область"/>
        <s v="Костромская область"/>
        <s v="Краснодарский край"/>
        <s v="Красноярский край"/>
        <s v="Курганская область"/>
        <s v="Курская область"/>
        <s v="Ленинградская область"/>
        <s v="Липецкая область"/>
        <s v="Луганская Народная Республика"/>
        <s v="Магаданская область"/>
        <s v="Москва"/>
        <s v="Московская область"/>
        <s v="Мурманская область"/>
        <s v="Нижегородская область"/>
        <s v="Новгородская область"/>
        <s v="Новосибирская область"/>
        <s v="Омская область"/>
        <s v="Оренбургская область"/>
        <s v="Орловская область"/>
        <s v="Пензенская область"/>
        <s v="Пермский край"/>
        <s v="Приморский край"/>
        <s v="Псковская область"/>
        <s v="Республика Адыгея"/>
        <s v="Республика Алтай"/>
        <s v="Республика Башкортостан"/>
        <s v="Республика Бурятия"/>
        <s v="Республика Дагестан"/>
        <s v="Республика Ингушетия"/>
        <s v="Республика Калмыкия"/>
        <s v="Республика Карелия"/>
        <s v="Республика Коми"/>
        <s v="Республика Крым"/>
        <s v="Республика Марий Эл"/>
        <s v="Республика Мордовия"/>
        <s v="Республика Саха (Якутия)"/>
        <s v="Республика Северная Осетия - Алания"/>
        <s v="Республика Татарстан"/>
        <s v="Республика Тыва"/>
        <s v="Республика Хакасия"/>
        <s v="Ростовская область"/>
        <s v="Рязанская область"/>
        <s v="Самарская область"/>
        <s v="Саратовская область"/>
        <s v="Сахалинская область"/>
        <s v="Свердловская область"/>
        <s v="Смоленская область"/>
        <s v="Ставропольский край"/>
        <s v="Тамбовская область"/>
        <s v="Тверская область"/>
        <s v="Томская область"/>
        <s v="Тульская область"/>
        <s v="Тюменская область"/>
        <s v="Ульяновская область"/>
        <s v="Хабаровский край"/>
        <s v="Херсонская область"/>
        <s v="Челябинская область"/>
        <s v="Чеченская Республика"/>
        <s v="Чувашская Республика"/>
        <s v="Ярославская область"/>
      </sharedItems>
    </cacheField>
    <cacheField name="[MainQuery2Source 1].[Филиал].[Филиал]" caption="Филиал" numFmtId="0" hierarchy="5" level="1">
      <sharedItems containsNonDate="0" count="105">
        <s v="Омский"/>
        <s v="Тарский"/>
        <s v="Самарский" u="1"/>
        <s v="Хабаровский" u="1"/>
        <s v="Приморский" u="1"/>
        <s v="Ростовский" u="1"/>
        <s v="Северо-Донецкий" u="1"/>
        <s v="Цимлянский" u="1"/>
        <s v="Мордовский" u="1"/>
        <s v="Нижегородский" u="1"/>
        <s v="Орловский" u="1"/>
        <s v="Тамбовский" u="1"/>
        <s v="Алейский" u="1"/>
        <s v="Алтайский" u="1"/>
        <s v="Бийский" u="1"/>
        <s v="Кулундинский" u="1"/>
        <s v="Амурский" u="1"/>
        <s v="Белогорский" u="1"/>
        <s v="Архангельский" u="1"/>
        <s v="Астраханский" u="1"/>
        <s v="Белгородский" u="1"/>
        <s v="Брянский" u="1"/>
        <s v="Владимирский" u="1"/>
        <s v="Волгоградский" u="1"/>
        <s v="Вологодский" u="1"/>
        <s v="Воронежский" u="1"/>
        <s v="Таловский" u="1"/>
        <s v="Донецкий" u="1"/>
        <s v="Читинский" u="1"/>
        <s v="Запорожский" u="1"/>
        <s v="Ивановский" u="1"/>
        <s v="Иркутский" u="1"/>
        <s v="Тулунский" u="1"/>
        <s v="Кабардино-Балкарский" u="1"/>
        <s v="Калининградский" u="1"/>
        <s v="Калужский" u="1"/>
        <s v="Камчатский" u="1"/>
        <s v="Карачаево-Черкесский" u="1"/>
        <s v="Кемеровский" u="1"/>
        <s v="Кировский" u="1"/>
        <s v="Костромской" u="1"/>
        <s v="Кавказский" u="1"/>
        <s v="Краснодарский" u="1"/>
        <s v="Северо-Кубанский" u="1"/>
        <s v="Красноярский" u="1"/>
        <s v="Минусинский" u="1"/>
        <s v="Солянский" u="1"/>
        <s v="Курганский" u="1"/>
        <s v="Шадринский" u="1"/>
        <s v="Курский" u="1"/>
        <s v="Рыльский" u="1"/>
        <s v="Ленинградский" u="1"/>
        <s v="Липецкий" u="1"/>
        <s v="Луганский" u="1"/>
        <s v="Магаданский" u="1"/>
        <s v="РосАгрохимслужба" u="1"/>
        <s v="Московский" u="1"/>
        <s v="Мурманский" u="1"/>
        <s v="Новгородский" u="1"/>
        <s v="Баганский" u="1"/>
        <s v="Новосибирский" u="1"/>
        <s v="Бузулукский" u="1"/>
        <s v="Оренбургский" u="1"/>
        <s v="Пензенский" u="1"/>
        <s v="Пермский" u="1"/>
        <s v="Великолукский" u="1"/>
        <s v="Псковский" u="1"/>
        <s v="Адыгейский" u="1"/>
        <s v="Горно-Алтайский" u="1"/>
        <s v="Башкирский" u="1"/>
        <s v="Бурятский" u="1"/>
        <s v="Дагестанский" u="1"/>
        <s v="Ингушский" u="1"/>
        <s v="Калмыцкий" u="1"/>
        <s v="Карельский" u="1"/>
        <s v="Сыктывкарский" u="1"/>
        <s v="Крымский" u="1"/>
        <s v="Марийский" u="1"/>
        <s v="Якутский" u="1"/>
        <s v="Северо-Осетинский" u="1"/>
        <s v="Альметьевский" u="1"/>
        <s v="Татарский" u="1"/>
        <s v="Тувинский" u="1"/>
        <s v="Хакасский" u="1"/>
        <s v="Подвязьевский" u="1"/>
        <s v="Рязанский" u="1"/>
        <s v="Саратовский" u="1"/>
        <s v="Сахалинский" u="1"/>
        <s v="Свердловский" u="1"/>
        <s v="Смоленский" u="1"/>
        <s v="Прикумский" u="1"/>
        <s v="Ставропольский" u="1"/>
        <s v="Нелидовский" u="1"/>
        <s v="Тверской" u="1"/>
        <s v="Томский" u="1"/>
        <s v="Тульский" u="1"/>
        <s v="Ишимский" u="1"/>
        <s v="Тюменский" u="1"/>
        <s v="Ульяновский" u="1"/>
        <s v="Херсонский" u="1"/>
        <s v="Карталинский" u="1"/>
        <s v="Челябинский" u="1"/>
        <s v="Чеченский" u="1"/>
        <s v="Чувашский" u="1"/>
        <s v="Ярославский" u="1"/>
      </sharedItems>
    </cacheField>
    <cacheField name="[Measures].[ФилиалыЭксперты]" caption="ФилиалыЭксперты" numFmtId="0" hierarchy="35" level="32767"/>
    <cacheField name="[Measures].[ЭкспертФакт]" caption="ЭкспертФакт" numFmtId="0" hierarchy="36" level="32767"/>
    <cacheField name="[Measures].[КандидатФакт]" caption="КандидатФакт" numFmtId="0" hierarchy="37" level="32767"/>
    <cacheField name="[Measures].[Снят]" caption="Снят" numFmtId="0" hierarchy="38" level="32767"/>
    <cacheField name="[Measures].[БалансРасчет]" caption="БалансРасчет" numFmtId="0" hierarchy="39" level="32767"/>
    <cacheField name="[Measures].[ЭкспертыРасчет]" caption="ЭкспертыРасчет" numFmtId="0" hierarchy="40" level="32767"/>
  </cacheFields>
  <cacheHierarchies count="47">
    <cacheHierarchy uniqueName="[MainQuery2Source 1].[№]" caption="№" attribute="1" defaultMemberUniqueName="[MainQuery2Source 1].[№].[All]" allUniqueName="[MainQuery2Source 1].[№].[All]" dimensionUniqueName="[MainQuery2Source 1]" displayFolder="" count="0" memberValueDatatype="20" unbalanced="0"/>
    <cacheHierarchy uniqueName="[MainQuery2Source 1].[DIN]" caption="DIN" attribute="1" defaultMemberUniqueName="[MainQuery2Source 1].[DIN].[All]" allUniqueName="[MainQuery2Source 1].[DIN].[All]" dimensionUniqueName="[MainQuery2Source 1]" displayFolder="" count="0" memberValueDatatype="20" unbalanced="0"/>
    <cacheHierarchy uniqueName="[MainQuery2Source 1].[ФО]" caption="ФО" attribute="1" defaultMemberUniqueName="[MainQuery2Source 1].[ФО].[All]" allUniqueName="[MainQuery2Source 1].[ФО].[All]" dimensionUniqueName="[MainQuery2Source 1]" displayFolder="" count="0" memberValueDatatype="130" unbalanced="0"/>
    <cacheHierarchy uniqueName="[MainQuery2Source 1].[Филиал_nn]" caption="Филиал_nn" attribute="1" defaultMemberUniqueName="[MainQuery2Source 1].[Филиал_nn].[All]" allUniqueName="[MainQuery2Source 1].[Филиал_nn].[All]" dimensionUniqueName="[MainQuery2Source 1]" displayFolder="" count="0" memberValueDatatype="130" unbalanced="0"/>
    <cacheHierarchy uniqueName="[MainQuery2Source 1].[Субъект]" caption="Субъект" attribute="1" defaultMemberUniqueName="[MainQuery2Source 1].[Субъект].[All]" allUniqueName="[MainQuery2Source 1].[Субъект].[All]" dimensionUniqueName="[MainQuery2Source 1]" displayFolder="" count="2" memberValueDatatype="130" unbalanced="0">
      <fieldsUsage count="2">
        <fieldUsage x="-1"/>
        <fieldUsage x="0"/>
      </fieldsUsage>
    </cacheHierarchy>
    <cacheHierarchy uniqueName="[MainQuery2Source 1].[Филиал]" caption="Филиал" attribute="1" defaultMemberUniqueName="[MainQuery2Source 1].[Филиал].[All]" allUniqueName="[MainQuery2Source 1].[Филиал].[All]" dimensionUniqueName="[MainQuery2Source 1]" displayFolder="" count="2" memberValueDatatype="130" unbalanced="0">
      <fieldsUsage count="2">
        <fieldUsage x="-1"/>
        <fieldUsage x="1"/>
      </fieldsUsage>
    </cacheHierarchy>
    <cacheHierarchy uniqueName="[MainQuery2Source 1].[ФИО]" caption="ФИО" attribute="1" defaultMemberUniqueName="[MainQuery2Source 1].[ФИО].[All]" allUniqueName="[MainQuery2Source 1].[ФИО].[All]" dimensionUniqueName="[MainQuery2Source 1]" displayFolder="" count="0" memberValueDatatype="130" unbalanced="0"/>
    <cacheHierarchy uniqueName="[MainQuery2Source 1].[Статус]" caption="Статус" attribute="1" defaultMemberUniqueName="[MainQuery2Source 1].[Статус].[All]" allUniqueName="[MainQuery2Source 1].[Статус].[All]" dimensionUniqueName="[MainQuery2Source 1]" displayFolder="" count="0" memberValueDatatype="130" unbalanced="0"/>
    <cacheHierarchy uniqueName="[MainQuery2Source 1].[Контактный номер]" caption="Контактный номер" attribute="1" defaultMemberUniqueName="[MainQuery2Source 1].[Контактный номер].[All]" allUniqueName="[MainQuery2Source 1].[Контактный номер].[All]" dimensionUniqueName="[MainQuery2Source 1]" displayFolder="" count="0" memberValueDatatype="130" unbalanced="0"/>
    <cacheHierarchy uniqueName="[MainQuery2Source 1].[№ Заявления]" caption="№ Заявления" attribute="1" defaultMemberUniqueName="[MainQuery2Source 1].[№ Заявления].[All]" allUniqueName="[MainQuery2Source 1].[№ Заявления].[All]" dimensionUniqueName="[MainQuery2Source 1]" displayFolder="" count="0" memberValueDatatype="130" unbalanced="0"/>
    <cacheHierarchy uniqueName="[MainQuery2Source 1].[Дата Заявления]" caption="Дата Заявления" attribute="1" defaultMemberUniqueName="[MainQuery2Source 1].[Дата Заявления].[All]" allUniqueName="[MainQuery2Source 1].[Дата Заявления].[All]" dimensionUniqueName="[MainQuery2Source 1]" displayFolder="" count="0" memberValueDatatype="20" unbalanced="0"/>
    <cacheHierarchy uniqueName="[MainQuery2Source 1].[Прошло дней]" caption="Прошло дней" attribute="1" defaultMemberUniqueName="[MainQuery2Source 1].[Прошло дней].[All]" allUniqueName="[MainQuery2Source 1].[Прошло дней].[All]" dimensionUniqueName="[MainQuery2Source 1]" displayFolder="" count="0" memberValueDatatype="20" unbalanced="0"/>
    <cacheHierarchy uniqueName="[MainQuery2Source 1].[Регистрационный номер эксперта]" caption="Регистрационный номер эксперта" attribute="1" defaultMemberUniqueName="[MainQuery2Source 1].[Регистрационный номер эксперта].[All]" allUniqueName="[MainQuery2Source 1].[Регистрационный номер эксперта].[All]" dimensionUniqueName="[MainQuery2Source 1]" displayFolder="" count="0" memberValueDatatype="130" unbalanced="0"/>
    <cacheHierarchy uniqueName="[MainQuery2Source 1].[Дата регистрации]" caption="Дата регистрации" attribute="1" time="1" defaultMemberUniqueName="[MainQuery2Source 1].[Дата регистрации].[All]" allUniqueName="[MainQuery2Source 1].[Дата регистрации].[All]" dimensionUniqueName="[MainQuery2Source 1]" displayFolder="" count="0" memberValueDatatype="7" unbalanced="0"/>
    <cacheHierarchy uniqueName="[MainQuery2Source 1].[Срок действия]" caption="Срок действия" attribute="1" time="1" defaultMemberUniqueName="[MainQuery2Source 1].[Срок действия].[All]" allUniqueName="[MainQuery2Source 1].[Срок действия].[All]" dimensionUniqueName="[MainQuery2Source 1]" displayFolder="" count="0" memberValueDatatype="7" unbalanced="0"/>
    <cacheHierarchy uniqueName="[MainQuery2Source 1].[Комментарии к статусам заявлений, аттестации (заявление не подано (указать причины, трудности), прох]" caption="Комментарии к статусам заявлений, аттестации (заявление не подано (указать причины, трудности), прох" attribute="1" defaultMemberUniqueName="[MainQuery2Source 1].[Комментарии к статусам заявлений, аттестации (заявление не подано (указать причины, трудности), прох].[All]" allUniqueName="[MainQuery2Source 1].[Комментарии к статусам заявлений, аттестации (заявление не подано (указать причины, трудности), прох].[All]" dimensionUniqueName="[MainQuery2Source 1]" displayFolder="" count="0" memberValueDatatype="130" unbalanced="0"/>
    <cacheHierarchy uniqueName="[Таблица3].[№]" caption="№" attribute="1" defaultMemberUniqueName="[Таблица3].[№].[All]" allUniqueName="[Таблица3].[№].[All]" dimensionUniqueName="[Таблица3]" displayFolder="" count="0" memberValueDatatype="20" unbalanced="0"/>
    <cacheHierarchy uniqueName="[Таблица3].[ФО]" caption="ФО" attribute="1" defaultMemberUniqueName="[Таблица3].[ФО].[All]" allUniqueName="[Таблица3].[ФО].[All]" dimensionUniqueName="[Таблица3]" displayFolder="" count="0" memberValueDatatype="130" unbalanced="0"/>
    <cacheHierarchy uniqueName="[Таблица3].[Субъект]" caption="Субъект" attribute="1" defaultMemberUniqueName="[Таблица3].[Субъект].[All]" allUniqueName="[Таблица3].[Субъект].[All]" dimensionUniqueName="[Таблица3]" displayFolder="" count="0" memberValueDatatype="130" unbalanced="0"/>
    <cacheHierarchy uniqueName="[Таблица3].[Филиалы]" caption="Филиалы" attribute="1" defaultMemberUniqueName="[Таблица3].[Филиалы].[All]" allUniqueName="[Таблица3].[Филиалы].[All]" dimensionUniqueName="[Таблица3]" displayFolder="" count="0" memberValueDatatype="130" unbalanced="0"/>
    <cacheHierarchy uniqueName="[Таблица3].[Эксперты, расчет]" caption="Эксперты, расчет" attribute="1" defaultMemberUniqueName="[Таблица3].[Эксперты, расчет].[All]" allUniqueName="[Таблица3].[Эксперты, расчет].[All]" dimensionUniqueName="[Таблица3]" displayFolder="" count="0" memberValueDatatype="20" unbalanced="0"/>
    <cacheHierarchy uniqueName="[Таблица3].[Эксперты, факт (!=Σ)]" caption="Эксперты, факт (!=Σ)" attribute="1" defaultMemberUniqueName="[Таблица3].[Эксперты, факт (!=Σ)].[All]" allUniqueName="[Таблица3].[Эксперты, факт (!=Σ)].[All]" dimensionUniqueName="[Таблица3]" displayFolder="" count="0" memberValueDatatype="20" unbalanced="0"/>
    <cacheHierarchy uniqueName="[Таблица3].[Кандидаты, факт  (!=Σ)]" caption="Кандидаты, факт  (!=Σ)" attribute="1" defaultMemberUniqueName="[Таблица3].[Кандидаты, факт  (!=Σ)].[All]" allUniqueName="[Таблица3].[Кандидаты, факт  (!=Σ)].[All]" dimensionUniqueName="[Таблица3]" displayFolder="" count="0" memberValueDatatype="20" unbalanced="0"/>
    <cacheHierarchy uniqueName="[Таблица3].[Баланс факт-расчет]" caption="Баланс факт-расчет" attribute="1" defaultMemberUniqueName="[Таблица3].[Баланс факт-расчет].[All]" allUniqueName="[Таблица3].[Баланс факт-расчет].[All]" dimensionUniqueName="[Таблица3]" displayFolder="" count="0" memberValueDatatype="20" unbalanced="0"/>
    <cacheHierarchy uniqueName="[Таблица3].[Баланс факт-план(-)]" caption="Баланс факт-план(-)" attribute="1" defaultMemberUniqueName="[Таблица3].[Баланс факт-план(-)].[All]" allUniqueName="[Таблица3].[Баланс факт-план(-)].[All]" dimensionUniqueName="[Таблица3]" displayFolder="" count="0" memberValueDatatype="20" unbalanced="0"/>
    <cacheHierarchy uniqueName="[Таблица3].[Баланс факт-план(+)]" caption="Баланс факт-план(+)" attribute="1" defaultMemberUniqueName="[Таблица3].[Баланс факт-план(+)].[All]" allUniqueName="[Таблица3].[Баланс факт-план(+)].[All]" dimensionUniqueName="[Таблица3]" displayFolder="" count="0" memberValueDatatype="20" unbalanced="0"/>
    <cacheHierarchy uniqueName="[Таблица3].[Погашен]" caption="Погашен" attribute="1" defaultMemberUniqueName="[Таблица3].[Погашен].[All]" allUniqueName="[Таблица3].[Погашен].[All]" dimensionUniqueName="[Таблица3]" displayFolder="" count="0" memberValueDatatype="130" unbalanced="0"/>
    <cacheHierarchy uniqueName="[Таблица3].[Заявленные убытки, шт]" caption="Заявленные убытки, шт" attribute="1" defaultMemberUniqueName="[Таблица3].[Заявленные убытки, шт].[All]" allUniqueName="[Таблица3].[Заявленные убытки, шт].[All]" dimensionUniqueName="[Таблица3]" displayFolder="" count="0" memberValueDatatype="20" unbalanced="0"/>
    <cacheHierarchy uniqueName="[Таблица3].[Площадь (тыс.га)]" caption="Площадь (тыс.га)" attribute="1" defaultMemberUniqueName="[Таблица3].[Площадь (тыс.га)].[All]" allUniqueName="[Таблица3].[Площадь (тыс.га)].[All]" dimensionUniqueName="[Таблица3]" displayFolder="" count="0" memberValueDatatype="5" unbalanced="0"/>
    <cacheHierarchy uniqueName="[Таблица3].[Ср.поле (га)]" caption="Ср.поле (га)" attribute="1" defaultMemberUniqueName="[Таблица3].[Ср.поле (га)].[All]" allUniqueName="[Таблица3].[Ср.поле (га)].[All]" dimensionUniqueName="[Таблица3]" displayFolder="" count="0" memberValueDatatype="20" unbalanced="0"/>
    <cacheHierarchy uniqueName="[Таблица3].[Полей (шт)]" caption="Полей (шт)" attribute="1" defaultMemberUniqueName="[Таблица3].[Полей (шт)].[All]" allUniqueName="[Таблица3].[Полей (шт)].[All]" dimensionUniqueName="[Таблица3]" displayFolder="" count="0" memberValueDatatype="20" unbalanced="0"/>
    <cacheHierarchy uniqueName="[Таблица3].[Дорога (ч)]" caption="Дорога (ч)" attribute="1" defaultMemberUniqueName="[Таблица3].[Дорога (ч)].[All]" allUniqueName="[Таблица3].[Дорога (ч)].[All]" dimensionUniqueName="[Таблица3]" displayFolder="" count="0" memberValueDatatype="5" unbalanced="0"/>
    <cacheHierarchy uniqueName="[Таблица3].[Эффективная смена (ч)]" caption="Эффективная смена (ч)" attribute="1" defaultMemberUniqueName="[Таблица3].[Эффективная смена (ч)].[All]" allUniqueName="[Таблица3].[Эффективная смена (ч)].[All]" dimensionUniqueName="[Таблица3]" displayFolder="" count="0" memberValueDatatype="5" unbalanced="0"/>
    <cacheHierarchy uniqueName="[Таблица3].[Особые параметры]" caption="Особые параметры" attribute="1" defaultMemberUniqueName="[Таблица3].[Особые параметры].[All]" allUniqueName="[Таблица3].[Особые параметры].[All]" dimensionUniqueName="[Таблица3]" displayFolder="" count="0" memberValueDatatype="130" unbalanced="0"/>
    <cacheHierarchy uniqueName="[Таблица3].[Обоснование отказа от экспертов]" caption="Обоснование отказа от экспертов" attribute="1" defaultMemberUniqueName="[Таблица3].[Обоснование отказа от экспертов].[All]" allUniqueName="[Таблица3].[Обоснование отказа от экспертов].[All]" dimensionUniqueName="[Таблица3]" displayFolder="" count="0" memberValueDatatype="130" unbalanced="0"/>
    <cacheHierarchy uniqueName="[Measures].[ФилиалыЭксперты]" caption="ФилиалыЭксперты" measure="1" displayFolder="" measureGroup="MainQuery2Source 1" count="0" oneField="1">
      <fieldsUsage count="1">
        <fieldUsage x="2"/>
      </fieldsUsage>
    </cacheHierarchy>
    <cacheHierarchy uniqueName="[Measures].[ЭкспертФакт]" caption="ЭкспертФакт" measure="1" displayFolder="" measureGroup="MainQuery2Source 1" count="0" oneField="1">
      <fieldsUsage count="1">
        <fieldUsage x="3"/>
      </fieldsUsage>
    </cacheHierarchy>
    <cacheHierarchy uniqueName="[Measures].[КандидатФакт]" caption="КандидатФакт" measure="1" displayFolder="" measureGroup="MainQuery2Source 1" count="0" oneField="1">
      <fieldsUsage count="1">
        <fieldUsage x="4"/>
      </fieldsUsage>
    </cacheHierarchy>
    <cacheHierarchy uniqueName="[Measures].[Снят]" caption="Снят" measure="1" displayFolder="" measureGroup="MainQuery2Source 1" count="0" oneField="1">
      <fieldsUsage count="1">
        <fieldUsage x="5"/>
      </fieldsUsage>
    </cacheHierarchy>
    <cacheHierarchy uniqueName="[Measures].[БалансРасчет]" caption="БалансРасчет" measure="1" displayFolder="" measureGroup="Таблица3" count="0" oneField="1">
      <fieldsUsage count="1">
        <fieldUsage x="6"/>
      </fieldsUsage>
    </cacheHierarchy>
    <cacheHierarchy uniqueName="[Measures].[ЭкспертыРасчет]" caption="ЭкспертыРасчет" measure="1" displayFolder="" measureGroup="Таблица3" count="0" oneField="1">
      <fieldsUsage count="1">
        <fieldUsage x="7"/>
      </fieldsUsage>
    </cacheHierarchy>
    <cacheHierarchy uniqueName="[Measures].[__XL_Count MainQuery2Source 1]" caption="__XL_Count MainQuery2Source 1" measure="1" displayFolder="" measureGroup="MainQuery2Source 1" count="0" hidden="1"/>
    <cacheHierarchy uniqueName="[Measures].[__XL_Count Таблица3]" caption="__XL_Count Таблица3" measure="1" displayFolder="" measureGroup="Таблица3" count="0" hidden="1"/>
    <cacheHierarchy uniqueName="[Measures].[__No measures defined]" caption="__No measures defined" measure="1" displayFolder="" count="0" hidden="1"/>
    <cacheHierarchy uniqueName="[Measures].[Сумма по столбцу Эксперты, расчет]" caption="Сумма по столбцу Эксперты, расчет" measure="1" displayFolder="" measureGroup="Таблица3" count="0" hidden="1">
      <extLst>
        <ext xmlns:x15="http://schemas.microsoft.com/office/spreadsheetml/2010/11/main" uri="{B97F6D7D-B522-45F9-BDA1-12C45D357490}">
          <x15:cacheHierarchy aggregatedColumn="20"/>
        </ext>
      </extLst>
    </cacheHierarchy>
    <cacheHierarchy uniqueName="[Measures].[Сумма по столбцу Баланс факт-расчет]" caption="Сумма по столбцу Баланс факт-расчет" measure="1" displayFolder="" measureGroup="Таблица3" count="0" hidden="1">
      <extLst>
        <ext xmlns:x15="http://schemas.microsoft.com/office/spreadsheetml/2010/11/main" uri="{B97F6D7D-B522-45F9-BDA1-12C45D357490}">
          <x15:cacheHierarchy aggregatedColumn="23"/>
        </ext>
      </extLst>
    </cacheHierarchy>
    <cacheHierarchy uniqueName="[Measures].[Сумма по столбцу Эксперты, факт (!=Σ)]" caption="Сумма по столбцу Эксперты, факт (!=Σ)" measure="1" displayFolder="" measureGroup="Таблица3" count="0" hidden="1">
      <extLst>
        <ext xmlns:x15="http://schemas.microsoft.com/office/spreadsheetml/2010/11/main" uri="{B97F6D7D-B522-45F9-BDA1-12C45D357490}">
          <x15:cacheHierarchy aggregatedColumn="21"/>
        </ext>
      </extLst>
    </cacheHierarchy>
  </cacheHierarchies>
  <kpis count="0"/>
  <dimensions count="3">
    <dimension name="MainQuery2Source 1" uniqueName="[MainQuery2Source 1]" caption="MainQuery2Source 1"/>
    <dimension measure="1" name="Measures" uniqueName="[Measures]" caption="Measures"/>
    <dimension name="Таблица3" uniqueName="[Таблица3]" caption="Таблица3"/>
  </dimensions>
  <measureGroups count="2">
    <measureGroup name="MainQuery2Source 1" caption="MainQuery2Source 1"/>
    <measureGroup name="Таблица3" caption="Таблица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9DEB5B-BDC0-4C0A-8906-56135EC8F165}" name="Сводная таблица2" cacheId="8" applyNumberFormats="0" applyBorderFormats="0" applyFontFormats="0" applyPatternFormats="0" applyAlignmentFormats="0" applyWidthHeightFormats="1" dataCaption="Значения" tag="f5faf5a5-85e2-4f5f-886f-02faa3927d31" updatedVersion="7" minRefreshableVersion="3" subtotalHiddenItems="1" itemPrintTitles="1" createdVersion="7" indent="0" outline="1" outlineData="1" multipleFieldFilters="0" chartFormat="1" rowHeaderCaption="Субъект_x000a_⤵_x000a_Филиал*">
  <location ref="J9:P91" firstHeaderRow="0" firstDataRow="1" firstDataCol="1"/>
  <pivotFields count="8">
    <pivotField axis="axisRow" allDrilled="1" showAll="0" sortType="ascending">
      <items count="8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t="default"/>
      </items>
      <autoSortScope>
        <pivotArea dataOnly="0" outline="0" fieldPosition="0">
          <references count="1">
            <reference field="4294967294" count="1" selected="0">
              <x v="1"/>
            </reference>
          </references>
        </pivotArea>
      </autoSortScope>
    </pivotField>
    <pivotField axis="axisRow" allDrilled="1" showAll="0" dataSourceSort="1" defaultAttributeDrillState="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dataField="1" showAll="0"/>
    <pivotField dataField="1" showAll="0"/>
    <pivotField dataField="1" showAll="0"/>
    <pivotField dataField="1" showAll="0"/>
    <pivotField dataField="1" showAll="0"/>
    <pivotField dataField="1" showAll="0"/>
  </pivotFields>
  <rowFields count="2">
    <field x="0"/>
    <field x="1"/>
  </rowFields>
  <rowItems count="82">
    <i>
      <x v="37"/>
    </i>
    <i>
      <x v="40"/>
    </i>
    <i>
      <x v="39"/>
    </i>
    <i>
      <x v="42"/>
    </i>
    <i>
      <x v="63"/>
    </i>
    <i>
      <x v="28"/>
    </i>
    <i>
      <x v="69"/>
    </i>
    <i>
      <x v="55"/>
    </i>
    <i>
      <x v="79"/>
    </i>
    <i>
      <x v="66"/>
    </i>
    <i>
      <x v="34"/>
    </i>
    <i>
      <x v="9"/>
    </i>
    <i>
      <x/>
    </i>
    <i>
      <x v="20"/>
    </i>
    <i>
      <x v="11"/>
    </i>
    <i>
      <x v="24"/>
    </i>
    <i>
      <x v="53"/>
    </i>
    <i>
      <x v="5"/>
    </i>
    <i>
      <x v="12"/>
    </i>
    <i>
      <x v="7"/>
    </i>
    <i>
      <x v="61"/>
    </i>
    <i>
      <x v="36"/>
    </i>
    <i>
      <x v="14"/>
    </i>
    <i>
      <x v="18"/>
    </i>
    <i>
      <x v="65"/>
    </i>
    <i>
      <x v="26"/>
    </i>
    <i>
      <x v="16"/>
    </i>
    <i>
      <x v="35"/>
    </i>
    <i>
      <x v="68"/>
    </i>
    <i>
      <x v="23"/>
    </i>
    <i>
      <x v="17"/>
    </i>
    <i>
      <x v="38"/>
    </i>
    <i>
      <x v="71"/>
    </i>
    <i>
      <x v="33"/>
    </i>
    <i>
      <x v="72"/>
    </i>
    <i>
      <x v="41"/>
    </i>
    <i>
      <x v="58"/>
    </i>
    <i>
      <x v="4"/>
    </i>
    <i>
      <x v="59"/>
    </i>
    <i>
      <x v="57"/>
    </i>
    <i>
      <x v="22"/>
    </i>
    <i>
      <x v="8"/>
    </i>
    <i>
      <x v="3"/>
    </i>
    <i>
      <x v="45"/>
    </i>
    <i>
      <x v="64"/>
    </i>
    <i>
      <x v="48"/>
    </i>
    <i>
      <x v="29"/>
    </i>
    <i>
      <x v="54"/>
    </i>
    <i>
      <x v="30"/>
    </i>
    <i>
      <x v="80"/>
    </i>
    <i>
      <x v="31"/>
    </i>
    <i>
      <x v="46"/>
    </i>
    <i>
      <x v="32"/>
    </i>
    <i>
      <x v="15"/>
    </i>
    <i>
      <x v="76"/>
    </i>
    <i>
      <x v="49"/>
    </i>
    <i>
      <x v="78"/>
    </i>
    <i>
      <x v="44"/>
    </i>
    <i>
      <x v="19"/>
    </i>
    <i>
      <x v="21"/>
    </i>
    <i>
      <x v="70"/>
    </i>
    <i>
      <x v="27"/>
    </i>
    <i>
      <x v="13"/>
    </i>
    <i>
      <x v="10"/>
    </i>
    <i>
      <x v="50"/>
    </i>
    <i>
      <x v="6"/>
    </i>
    <i>
      <x v="52"/>
    </i>
    <i>
      <x v="73"/>
    </i>
    <i>
      <x v="47"/>
    </i>
    <i>
      <x v="74"/>
    </i>
    <i>
      <x v="51"/>
    </i>
    <i>
      <x v="56"/>
    </i>
    <i>
      <x v="62"/>
    </i>
    <i>
      <x v="2"/>
    </i>
    <i>
      <x v="25"/>
    </i>
    <i>
      <x v="1"/>
    </i>
    <i>
      <x v="60"/>
    </i>
    <i>
      <x v="43"/>
    </i>
    <i>
      <x v="67"/>
    </i>
    <i>
      <x v="77"/>
    </i>
    <i>
      <x v="75"/>
    </i>
    <i t="grand">
      <x/>
    </i>
  </rowItems>
  <colFields count="1">
    <field x="-2"/>
  </colFields>
  <colItems count="6">
    <i>
      <x/>
    </i>
    <i i="1">
      <x v="1"/>
    </i>
    <i i="2">
      <x v="2"/>
    </i>
    <i i="3">
      <x v="3"/>
    </i>
    <i i="4">
      <x v="4"/>
    </i>
    <i i="5">
      <x v="5"/>
    </i>
  </colItems>
  <dataFields count="6">
    <dataField fld="7" subtotal="count" baseField="0" baseItem="0"/>
    <dataField fld="6" subtotal="count" baseField="0" baseItem="0"/>
    <dataField fld="3" subtotal="count" baseField="0" baseItem="0"/>
    <dataField fld="4" subtotal="count" baseField="0" baseItem="0"/>
    <dataField fld="2" subtotal="count" baseField="0" baseItem="0"/>
    <dataField fld="5" subtotal="count" baseField="0" baseItem="0"/>
  </dataFields>
  <formats count="1388">
    <format dxfId="2789">
      <pivotArea outline="0" collapsedLevelsAreSubtotals="1" fieldPosition="0"/>
    </format>
    <format dxfId="2790">
      <pivotArea outline="0" collapsedLevelsAreSubtotals="1" fieldPosition="0"/>
    </format>
    <format dxfId="2791">
      <pivotArea grandRow="1" outline="0" collapsedLevelsAreSubtotals="1" fieldPosition="0"/>
    </format>
    <format dxfId="2792">
      <pivotArea dataOnly="0" labelOnly="1" grandRow="1" outline="0" fieldPosition="0"/>
    </format>
    <format dxfId="2793">
      <pivotArea dataOnly="0" labelOnly="1" grandRow="1" outline="0" fieldPosition="0"/>
    </format>
    <format dxfId="2794">
      <pivotArea grandRow="1" outline="0" collapsedLevelsAreSubtotals="1" fieldPosition="0"/>
    </format>
    <format dxfId="2795">
      <pivotArea dataOnly="0" labelOnly="1" grandRow="1" outline="0" fieldPosition="0"/>
    </format>
    <format dxfId="2796">
      <pivotArea dataOnly="0" labelOnly="1" grandRow="1" outline="0" fieldPosition="0"/>
    </format>
    <format dxfId="2797">
      <pivotArea type="all" dataOnly="0" outline="0" fieldPosition="0"/>
    </format>
    <format dxfId="2798">
      <pivotArea outline="0" collapsedLevelsAreSubtotals="1" fieldPosition="0"/>
    </format>
    <format dxfId="2799">
      <pivotArea dataOnly="0" labelOnly="1" grandRow="1" outline="0" fieldPosition="0"/>
    </format>
    <format dxfId="2800">
      <pivotArea dataOnly="0" labelOnly="1" outline="0" axis="axisValues" fieldPosition="0"/>
    </format>
    <format dxfId="2801">
      <pivotArea dataOnly="0" labelOnly="1" outline="0" fieldPosition="0">
        <references count="1">
          <reference field="4294967294" count="6">
            <x v="0"/>
            <x v="1"/>
            <x v="2"/>
            <x v="3"/>
            <x v="4"/>
            <x v="5"/>
          </reference>
        </references>
      </pivotArea>
    </format>
    <format dxfId="2802">
      <pivotArea field="0" type="button" dataOnly="0" labelOnly="1" outline="0" axis="axisRow" fieldPosition="0"/>
    </format>
    <format dxfId="2803">
      <pivotArea field="0" type="button" dataOnly="0" labelOnly="1" outline="0" axis="axisRow" fieldPosition="0"/>
    </format>
    <format dxfId="2804">
      <pivotArea field="0" type="button" dataOnly="0" labelOnly="1" outline="0" axis="axisRow" fieldPosition="0"/>
    </format>
    <format dxfId="2805">
      <pivotArea dataOnly="0" labelOnly="1" outline="0" fieldPosition="0">
        <references count="1">
          <reference field="4294967294" count="6">
            <x v="0"/>
            <x v="1"/>
            <x v="2"/>
            <x v="3"/>
            <x v="4"/>
            <x v="5"/>
          </reference>
        </references>
      </pivotArea>
    </format>
    <format dxfId="2806">
      <pivotArea field="0" type="button" dataOnly="0" labelOnly="1" outline="0" axis="axisRow" fieldPosition="0"/>
    </format>
    <format dxfId="2807">
      <pivotArea dataOnly="0" labelOnly="1" outline="0" fieldPosition="0">
        <references count="1">
          <reference field="4294967294" count="6">
            <x v="0"/>
            <x v="1"/>
            <x v="2"/>
            <x v="3"/>
            <x v="4"/>
            <x v="5"/>
          </reference>
        </references>
      </pivotArea>
    </format>
    <format dxfId="2808">
      <pivotArea field="0" type="button" dataOnly="0" labelOnly="1" outline="0" axis="axisRow" fieldPosition="0"/>
    </format>
    <format dxfId="2809">
      <pivotArea dataOnly="0" labelOnly="1" outline="0" fieldPosition="0">
        <references count="1">
          <reference field="4294967294" count="6">
            <x v="0"/>
            <x v="1"/>
            <x v="2"/>
            <x v="3"/>
            <x v="4"/>
            <x v="5"/>
          </reference>
        </references>
      </pivotArea>
    </format>
    <format dxfId="2810">
      <pivotArea field="0" type="button" dataOnly="0" labelOnly="1" outline="0" axis="axisRow" fieldPosition="0"/>
    </format>
    <format dxfId="2811">
      <pivotArea dataOnly="0" labelOnly="1" outline="0" fieldPosition="0">
        <references count="1">
          <reference field="4294967294" count="6">
            <x v="0"/>
            <x v="1"/>
            <x v="2"/>
            <x v="3"/>
            <x v="4"/>
            <x v="5"/>
          </reference>
        </references>
      </pivotArea>
    </format>
    <format dxfId="2812">
      <pivotArea field="0" type="button" dataOnly="0" labelOnly="1" outline="0" axis="axisRow" fieldPosition="0"/>
    </format>
    <format dxfId="2813">
      <pivotArea dataOnly="0" labelOnly="1" outline="0" fieldPosition="0">
        <references count="1">
          <reference field="4294967294" count="6">
            <x v="0"/>
            <x v="1"/>
            <x v="2"/>
            <x v="3"/>
            <x v="4"/>
            <x v="5"/>
          </reference>
        </references>
      </pivotArea>
    </format>
    <format dxfId="2814">
      <pivotArea outline="0" collapsedLevelsAreSubtotals="1" fieldPosition="0"/>
    </format>
    <format dxfId="281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816">
      <pivotArea dataOnly="0" labelOnly="1" fieldPosition="0">
        <references count="1">
          <reference field="0" count="31">
            <x v="50"/>
            <x v="51"/>
            <x v="52"/>
            <x v="53"/>
            <x v="54"/>
            <x v="55"/>
            <x v="56"/>
            <x v="57"/>
            <x v="58"/>
            <x v="59"/>
            <x v="60"/>
            <x v="61"/>
            <x v="62"/>
            <x v="63"/>
            <x v="64"/>
            <x v="65"/>
            <x v="66"/>
            <x v="67"/>
            <x v="68"/>
            <x v="69"/>
            <x v="70"/>
            <x v="71"/>
            <x v="72"/>
            <x v="73"/>
            <x v="74"/>
            <x v="75"/>
            <x v="76"/>
            <x v="77"/>
            <x v="78"/>
            <x v="79"/>
            <x v="80"/>
          </reference>
        </references>
      </pivotArea>
    </format>
    <format dxfId="2817">
      <pivotArea dataOnly="0" labelOnly="1" grandRow="1" outline="0" fieldPosition="0"/>
    </format>
    <format dxfId="2818">
      <pivotArea dataOnly="0" labelOnly="1" fieldPosition="0">
        <references count="2">
          <reference field="0" count="1" selected="0">
            <x v="0"/>
          </reference>
          <reference field="1" count="4">
            <x v="12"/>
            <x v="13"/>
            <x v="14"/>
            <x v="15"/>
          </reference>
        </references>
      </pivotArea>
    </format>
    <format dxfId="2819">
      <pivotArea dataOnly="0" labelOnly="1" fieldPosition="0">
        <references count="2">
          <reference field="0" count="1" selected="0">
            <x v="1"/>
          </reference>
          <reference field="1" count="2">
            <x v="16"/>
            <x v="17"/>
          </reference>
        </references>
      </pivotArea>
    </format>
    <format dxfId="2820">
      <pivotArea dataOnly="0" labelOnly="1" fieldPosition="0">
        <references count="2">
          <reference field="0" count="1" selected="0">
            <x v="2"/>
          </reference>
          <reference field="1" count="1">
            <x v="18"/>
          </reference>
        </references>
      </pivotArea>
    </format>
    <format dxfId="2821">
      <pivotArea dataOnly="0" labelOnly="1" fieldPosition="0">
        <references count="2">
          <reference field="0" count="1" selected="0">
            <x v="3"/>
          </reference>
          <reference field="1" count="1">
            <x v="19"/>
          </reference>
        </references>
      </pivotArea>
    </format>
    <format dxfId="2822">
      <pivotArea dataOnly="0" labelOnly="1" fieldPosition="0">
        <references count="2">
          <reference field="0" count="1" selected="0">
            <x v="4"/>
          </reference>
          <reference field="1" count="1">
            <x v="20"/>
          </reference>
        </references>
      </pivotArea>
    </format>
    <format dxfId="2823">
      <pivotArea dataOnly="0" labelOnly="1" fieldPosition="0">
        <references count="2">
          <reference field="0" count="1" selected="0">
            <x v="5"/>
          </reference>
          <reference field="1" count="1">
            <x v="21"/>
          </reference>
        </references>
      </pivotArea>
    </format>
    <format dxfId="2824">
      <pivotArea dataOnly="0" labelOnly="1" fieldPosition="0">
        <references count="2">
          <reference field="0" count="1" selected="0">
            <x v="6"/>
          </reference>
          <reference field="1" count="1">
            <x v="22"/>
          </reference>
        </references>
      </pivotArea>
    </format>
    <format dxfId="2825">
      <pivotArea dataOnly="0" labelOnly="1" fieldPosition="0">
        <references count="2">
          <reference field="0" count="1" selected="0">
            <x v="7"/>
          </reference>
          <reference field="1" count="1">
            <x v="23"/>
          </reference>
        </references>
      </pivotArea>
    </format>
    <format dxfId="2826">
      <pivotArea dataOnly="0" labelOnly="1" fieldPosition="0">
        <references count="2">
          <reference field="0" count="1" selected="0">
            <x v="8"/>
          </reference>
          <reference field="1" count="1">
            <x v="24"/>
          </reference>
        </references>
      </pivotArea>
    </format>
    <format dxfId="2827">
      <pivotArea dataOnly="0" labelOnly="1" fieldPosition="0">
        <references count="2">
          <reference field="0" count="1" selected="0">
            <x v="9"/>
          </reference>
          <reference field="1" count="2">
            <x v="25"/>
            <x v="26"/>
          </reference>
        </references>
      </pivotArea>
    </format>
    <format dxfId="2828">
      <pivotArea dataOnly="0" labelOnly="1" fieldPosition="0">
        <references count="2">
          <reference field="0" count="1" selected="0">
            <x v="10"/>
          </reference>
          <reference field="1" count="1">
            <x v="27"/>
          </reference>
        </references>
      </pivotArea>
    </format>
    <format dxfId="2829">
      <pivotArea dataOnly="0" labelOnly="1" fieldPosition="0">
        <references count="2">
          <reference field="0" count="1" selected="0">
            <x v="11"/>
          </reference>
          <reference field="1" count="1">
            <x v="28"/>
          </reference>
        </references>
      </pivotArea>
    </format>
    <format dxfId="2830">
      <pivotArea dataOnly="0" labelOnly="1" fieldPosition="0">
        <references count="2">
          <reference field="0" count="1" selected="0">
            <x v="12"/>
          </reference>
          <reference field="1" count="1">
            <x v="29"/>
          </reference>
        </references>
      </pivotArea>
    </format>
    <format dxfId="2831">
      <pivotArea dataOnly="0" labelOnly="1" fieldPosition="0">
        <references count="2">
          <reference field="0" count="1" selected="0">
            <x v="13"/>
          </reference>
          <reference field="1" count="1">
            <x v="30"/>
          </reference>
        </references>
      </pivotArea>
    </format>
    <format dxfId="2832">
      <pivotArea dataOnly="0" labelOnly="1" fieldPosition="0">
        <references count="2">
          <reference field="0" count="1" selected="0">
            <x v="14"/>
          </reference>
          <reference field="1" count="2">
            <x v="31"/>
            <x v="32"/>
          </reference>
        </references>
      </pivotArea>
    </format>
    <format dxfId="2833">
      <pivotArea dataOnly="0" labelOnly="1" fieldPosition="0">
        <references count="2">
          <reference field="0" count="1" selected="0">
            <x v="15"/>
          </reference>
          <reference field="1" count="1">
            <x v="33"/>
          </reference>
        </references>
      </pivotArea>
    </format>
    <format dxfId="2834">
      <pivotArea dataOnly="0" labelOnly="1" fieldPosition="0">
        <references count="2">
          <reference field="0" count="1" selected="0">
            <x v="16"/>
          </reference>
          <reference field="1" count="1">
            <x v="34"/>
          </reference>
        </references>
      </pivotArea>
    </format>
    <format dxfId="2835">
      <pivotArea dataOnly="0" labelOnly="1" fieldPosition="0">
        <references count="2">
          <reference field="0" count="1" selected="0">
            <x v="17"/>
          </reference>
          <reference field="1" count="1">
            <x v="35"/>
          </reference>
        </references>
      </pivotArea>
    </format>
    <format dxfId="2836">
      <pivotArea dataOnly="0" labelOnly="1" fieldPosition="0">
        <references count="2">
          <reference field="0" count="1" selected="0">
            <x v="18"/>
          </reference>
          <reference field="1" count="1">
            <x v="36"/>
          </reference>
        </references>
      </pivotArea>
    </format>
    <format dxfId="2837">
      <pivotArea dataOnly="0" labelOnly="1" fieldPosition="0">
        <references count="2">
          <reference field="0" count="1" selected="0">
            <x v="19"/>
          </reference>
          <reference field="1" count="1">
            <x v="37"/>
          </reference>
        </references>
      </pivotArea>
    </format>
    <format dxfId="2838">
      <pivotArea dataOnly="0" labelOnly="1" fieldPosition="0">
        <references count="2">
          <reference field="0" count="1" selected="0">
            <x v="20"/>
          </reference>
          <reference field="1" count="1">
            <x v="38"/>
          </reference>
        </references>
      </pivotArea>
    </format>
    <format dxfId="2839">
      <pivotArea dataOnly="0" labelOnly="1" fieldPosition="0">
        <references count="2">
          <reference field="0" count="1" selected="0">
            <x v="21"/>
          </reference>
          <reference field="1" count="1">
            <x v="39"/>
          </reference>
        </references>
      </pivotArea>
    </format>
    <format dxfId="2840">
      <pivotArea dataOnly="0" labelOnly="1" fieldPosition="0">
        <references count="2">
          <reference field="0" count="1" selected="0">
            <x v="22"/>
          </reference>
          <reference field="1" count="1">
            <x v="40"/>
          </reference>
        </references>
      </pivotArea>
    </format>
    <format dxfId="2841">
      <pivotArea dataOnly="0" labelOnly="1" fieldPosition="0">
        <references count="2">
          <reference field="0" count="1" selected="0">
            <x v="23"/>
          </reference>
          <reference field="1" count="3">
            <x v="41"/>
            <x v="42"/>
            <x v="43"/>
          </reference>
        </references>
      </pivotArea>
    </format>
    <format dxfId="2842">
      <pivotArea dataOnly="0" labelOnly="1" fieldPosition="0">
        <references count="2">
          <reference field="0" count="1" selected="0">
            <x v="24"/>
          </reference>
          <reference field="1" count="3">
            <x v="44"/>
            <x v="45"/>
            <x v="46"/>
          </reference>
        </references>
      </pivotArea>
    </format>
    <format dxfId="2843">
      <pivotArea dataOnly="0" labelOnly="1" fieldPosition="0">
        <references count="2">
          <reference field="0" count="1" selected="0">
            <x v="25"/>
          </reference>
          <reference field="1" count="2">
            <x v="47"/>
            <x v="48"/>
          </reference>
        </references>
      </pivotArea>
    </format>
    <format dxfId="2844">
      <pivotArea dataOnly="0" labelOnly="1" fieldPosition="0">
        <references count="2">
          <reference field="0" count="1" selected="0">
            <x v="26"/>
          </reference>
          <reference field="1" count="2">
            <x v="49"/>
            <x v="50"/>
          </reference>
        </references>
      </pivotArea>
    </format>
    <format dxfId="2845">
      <pivotArea dataOnly="0" labelOnly="1" fieldPosition="0">
        <references count="2">
          <reference field="0" count="1" selected="0">
            <x v="27"/>
          </reference>
          <reference field="1" count="1">
            <x v="51"/>
          </reference>
        </references>
      </pivotArea>
    </format>
    <format dxfId="2846">
      <pivotArea dataOnly="0" labelOnly="1" fieldPosition="0">
        <references count="2">
          <reference field="0" count="1" selected="0">
            <x v="28"/>
          </reference>
          <reference field="1" count="1">
            <x v="52"/>
          </reference>
        </references>
      </pivotArea>
    </format>
    <format dxfId="2847">
      <pivotArea dataOnly="0" labelOnly="1" fieldPosition="0">
        <references count="2">
          <reference field="0" count="1" selected="0">
            <x v="29"/>
          </reference>
          <reference field="1" count="1">
            <x v="53"/>
          </reference>
        </references>
      </pivotArea>
    </format>
    <format dxfId="2848">
      <pivotArea dataOnly="0" labelOnly="1" fieldPosition="0">
        <references count="2">
          <reference field="0" count="1" selected="0">
            <x v="30"/>
          </reference>
          <reference field="1" count="1">
            <x v="54"/>
          </reference>
        </references>
      </pivotArea>
    </format>
    <format dxfId="2849">
      <pivotArea dataOnly="0" labelOnly="1" fieldPosition="0">
        <references count="2">
          <reference field="0" count="1" selected="0">
            <x v="31"/>
          </reference>
          <reference field="1" count="1">
            <x v="55"/>
          </reference>
        </references>
      </pivotArea>
    </format>
    <format dxfId="2850">
      <pivotArea dataOnly="0" labelOnly="1" fieldPosition="0">
        <references count="2">
          <reference field="0" count="1" selected="0">
            <x v="32"/>
          </reference>
          <reference field="1" count="1">
            <x v="56"/>
          </reference>
        </references>
      </pivotArea>
    </format>
    <format dxfId="2851">
      <pivotArea dataOnly="0" labelOnly="1" fieldPosition="0">
        <references count="2">
          <reference field="0" count="1" selected="0">
            <x v="33"/>
          </reference>
          <reference field="1" count="1">
            <x v="57"/>
          </reference>
        </references>
      </pivotArea>
    </format>
    <format dxfId="2852">
      <pivotArea dataOnly="0" labelOnly="1" fieldPosition="0">
        <references count="2">
          <reference field="0" count="1" selected="0">
            <x v="34"/>
          </reference>
          <reference field="1" count="1">
            <x v="9"/>
          </reference>
        </references>
      </pivotArea>
    </format>
    <format dxfId="2853">
      <pivotArea dataOnly="0" labelOnly="1" fieldPosition="0">
        <references count="2">
          <reference field="0" count="1" selected="0">
            <x v="35"/>
          </reference>
          <reference field="1" count="1">
            <x v="58"/>
          </reference>
        </references>
      </pivotArea>
    </format>
    <format dxfId="2854">
      <pivotArea dataOnly="0" labelOnly="1" fieldPosition="0">
        <references count="2">
          <reference field="0" count="1" selected="0">
            <x v="36"/>
          </reference>
          <reference field="1" count="2">
            <x v="59"/>
            <x v="60"/>
          </reference>
        </references>
      </pivotArea>
    </format>
    <format dxfId="2855">
      <pivotArea dataOnly="0" labelOnly="1" fieldPosition="0">
        <references count="2">
          <reference field="0" count="1" selected="0">
            <x v="37"/>
          </reference>
          <reference field="1" count="2">
            <x v="0"/>
            <x v="1"/>
          </reference>
        </references>
      </pivotArea>
    </format>
    <format dxfId="2856">
      <pivotArea dataOnly="0" labelOnly="1" fieldPosition="0">
        <references count="2">
          <reference field="0" count="1" selected="0">
            <x v="38"/>
          </reference>
          <reference field="1" count="2">
            <x v="61"/>
            <x v="62"/>
          </reference>
        </references>
      </pivotArea>
    </format>
    <format dxfId="2857">
      <pivotArea dataOnly="0" labelOnly="1" fieldPosition="0">
        <references count="2">
          <reference field="0" count="1" selected="0">
            <x v="39"/>
          </reference>
          <reference field="1" count="1">
            <x v="10"/>
          </reference>
        </references>
      </pivotArea>
    </format>
    <format dxfId="2858">
      <pivotArea dataOnly="0" labelOnly="1" fieldPosition="0">
        <references count="2">
          <reference field="0" count="1" selected="0">
            <x v="40"/>
          </reference>
          <reference field="1" count="1">
            <x v="63"/>
          </reference>
        </references>
      </pivotArea>
    </format>
    <format dxfId="2859">
      <pivotArea dataOnly="0" labelOnly="1" fieldPosition="0">
        <references count="2">
          <reference field="0" count="1" selected="0">
            <x v="41"/>
          </reference>
          <reference field="1" count="1">
            <x v="64"/>
          </reference>
        </references>
      </pivotArea>
    </format>
    <format dxfId="2860">
      <pivotArea dataOnly="0" labelOnly="1" fieldPosition="0">
        <references count="2">
          <reference field="0" count="1" selected="0">
            <x v="42"/>
          </reference>
          <reference field="1" count="1">
            <x v="4"/>
          </reference>
        </references>
      </pivotArea>
    </format>
    <format dxfId="2861">
      <pivotArea dataOnly="0" labelOnly="1" fieldPosition="0">
        <references count="2">
          <reference field="0" count="1" selected="0">
            <x v="43"/>
          </reference>
          <reference field="1" count="2">
            <x v="65"/>
            <x v="66"/>
          </reference>
        </references>
      </pivotArea>
    </format>
    <format dxfId="2862">
      <pivotArea dataOnly="0" labelOnly="1" fieldPosition="0">
        <references count="2">
          <reference field="0" count="1" selected="0">
            <x v="44"/>
          </reference>
          <reference field="1" count="1">
            <x v="67"/>
          </reference>
        </references>
      </pivotArea>
    </format>
    <format dxfId="2863">
      <pivotArea dataOnly="0" labelOnly="1" fieldPosition="0">
        <references count="2">
          <reference field="0" count="1" selected="0">
            <x v="45"/>
          </reference>
          <reference field="1" count="1">
            <x v="68"/>
          </reference>
        </references>
      </pivotArea>
    </format>
    <format dxfId="2864">
      <pivotArea dataOnly="0" labelOnly="1" fieldPosition="0">
        <references count="2">
          <reference field="0" count="1" selected="0">
            <x v="46"/>
          </reference>
          <reference field="1" count="1">
            <x v="69"/>
          </reference>
        </references>
      </pivotArea>
    </format>
    <format dxfId="2865">
      <pivotArea dataOnly="0" labelOnly="1" fieldPosition="0">
        <references count="2">
          <reference field="0" count="1" selected="0">
            <x v="47"/>
          </reference>
          <reference field="1" count="1">
            <x v="70"/>
          </reference>
        </references>
      </pivotArea>
    </format>
    <format dxfId="2866">
      <pivotArea dataOnly="0" labelOnly="1" fieldPosition="0">
        <references count="2">
          <reference field="0" count="1" selected="0">
            <x v="48"/>
          </reference>
          <reference field="1" count="1">
            <x v="71"/>
          </reference>
        </references>
      </pivotArea>
    </format>
    <format dxfId="2867">
      <pivotArea dataOnly="0" labelOnly="1" fieldPosition="0">
        <references count="2">
          <reference field="0" count="1" selected="0">
            <x v="49"/>
          </reference>
          <reference field="1" count="1">
            <x v="72"/>
          </reference>
        </references>
      </pivotArea>
    </format>
    <format dxfId="2868">
      <pivotArea dataOnly="0" labelOnly="1" fieldPosition="0">
        <references count="2">
          <reference field="0" count="1" selected="0">
            <x v="50"/>
          </reference>
          <reference field="1" count="1">
            <x v="73"/>
          </reference>
        </references>
      </pivotArea>
    </format>
    <format dxfId="2869">
      <pivotArea dataOnly="0" labelOnly="1" fieldPosition="0">
        <references count="2">
          <reference field="0" count="1" selected="0">
            <x v="51"/>
          </reference>
          <reference field="1" count="1">
            <x v="74"/>
          </reference>
        </references>
      </pivotArea>
    </format>
    <format dxfId="2870">
      <pivotArea dataOnly="0" labelOnly="1" fieldPosition="0">
        <references count="2">
          <reference field="0" count="1" selected="0">
            <x v="52"/>
          </reference>
          <reference field="1" count="1">
            <x v="75"/>
          </reference>
        </references>
      </pivotArea>
    </format>
    <format dxfId="2871">
      <pivotArea dataOnly="0" labelOnly="1" fieldPosition="0">
        <references count="2">
          <reference field="0" count="1" selected="0">
            <x v="53"/>
          </reference>
          <reference field="1" count="1">
            <x v="76"/>
          </reference>
        </references>
      </pivotArea>
    </format>
    <format dxfId="2872">
      <pivotArea dataOnly="0" labelOnly="1" fieldPosition="0">
        <references count="2">
          <reference field="0" count="1" selected="0">
            <x v="54"/>
          </reference>
          <reference field="1" count="1">
            <x v="77"/>
          </reference>
        </references>
      </pivotArea>
    </format>
    <format dxfId="2873">
      <pivotArea dataOnly="0" labelOnly="1" fieldPosition="0">
        <references count="2">
          <reference field="0" count="1" selected="0">
            <x v="55"/>
          </reference>
          <reference field="1" count="1">
            <x v="8"/>
          </reference>
        </references>
      </pivotArea>
    </format>
    <format dxfId="2874">
      <pivotArea dataOnly="0" labelOnly="1" fieldPosition="0">
        <references count="2">
          <reference field="0" count="1" selected="0">
            <x v="56"/>
          </reference>
          <reference field="1" count="1">
            <x v="78"/>
          </reference>
        </references>
      </pivotArea>
    </format>
    <format dxfId="2875">
      <pivotArea dataOnly="0" labelOnly="1" fieldPosition="0">
        <references count="2">
          <reference field="0" count="1" selected="0">
            <x v="57"/>
          </reference>
          <reference field="1" count="1">
            <x v="79"/>
          </reference>
        </references>
      </pivotArea>
    </format>
    <format dxfId="2876">
      <pivotArea dataOnly="0" labelOnly="1" fieldPosition="0">
        <references count="2">
          <reference field="0" count="1" selected="0">
            <x v="58"/>
          </reference>
          <reference field="1" count="2">
            <x v="80"/>
            <x v="81"/>
          </reference>
        </references>
      </pivotArea>
    </format>
    <format dxfId="2877">
      <pivotArea dataOnly="0" labelOnly="1" fieldPosition="0">
        <references count="2">
          <reference field="0" count="1" selected="0">
            <x v="59"/>
          </reference>
          <reference field="1" count="1">
            <x v="82"/>
          </reference>
        </references>
      </pivotArea>
    </format>
    <format dxfId="2878">
      <pivotArea dataOnly="0" labelOnly="1" fieldPosition="0">
        <references count="2">
          <reference field="0" count="1" selected="0">
            <x v="60"/>
          </reference>
          <reference field="1" count="1">
            <x v="83"/>
          </reference>
        </references>
      </pivotArea>
    </format>
    <format dxfId="2879">
      <pivotArea dataOnly="0" labelOnly="1" fieldPosition="0">
        <references count="2">
          <reference field="0" count="1" selected="0">
            <x v="61"/>
          </reference>
          <reference field="1" count="3">
            <x v="5"/>
            <x v="6"/>
            <x v="7"/>
          </reference>
        </references>
      </pivotArea>
    </format>
    <format dxfId="2880">
      <pivotArea dataOnly="0" labelOnly="1" fieldPosition="0">
        <references count="2">
          <reference field="0" count="1" selected="0">
            <x v="62"/>
          </reference>
          <reference field="1" count="2">
            <x v="84"/>
            <x v="85"/>
          </reference>
        </references>
      </pivotArea>
    </format>
    <format dxfId="2881">
      <pivotArea dataOnly="0" labelOnly="1" fieldPosition="0">
        <references count="2">
          <reference field="0" count="1" selected="0">
            <x v="63"/>
          </reference>
          <reference field="1" count="1">
            <x v="2"/>
          </reference>
        </references>
      </pivotArea>
    </format>
    <format dxfId="2882">
      <pivotArea dataOnly="0" labelOnly="1" fieldPosition="0">
        <references count="2">
          <reference field="0" count="1" selected="0">
            <x v="64"/>
          </reference>
          <reference field="1" count="1">
            <x v="86"/>
          </reference>
        </references>
      </pivotArea>
    </format>
    <format dxfId="2883">
      <pivotArea dataOnly="0" labelOnly="1" fieldPosition="0">
        <references count="2">
          <reference field="0" count="1" selected="0">
            <x v="65"/>
          </reference>
          <reference field="1" count="1">
            <x v="87"/>
          </reference>
        </references>
      </pivotArea>
    </format>
    <format dxfId="2884">
      <pivotArea dataOnly="0" labelOnly="1" fieldPosition="0">
        <references count="2">
          <reference field="0" count="1" selected="0">
            <x v="66"/>
          </reference>
          <reference field="1" count="1">
            <x v="88"/>
          </reference>
        </references>
      </pivotArea>
    </format>
    <format dxfId="2885">
      <pivotArea dataOnly="0" labelOnly="1" fieldPosition="0">
        <references count="2">
          <reference field="0" count="1" selected="0">
            <x v="67"/>
          </reference>
          <reference field="1" count="1">
            <x v="89"/>
          </reference>
        </references>
      </pivotArea>
    </format>
    <format dxfId="2886">
      <pivotArea dataOnly="0" labelOnly="1" fieldPosition="0">
        <references count="2">
          <reference field="0" count="1" selected="0">
            <x v="68"/>
          </reference>
          <reference field="1" count="2">
            <x v="90"/>
            <x v="91"/>
          </reference>
        </references>
      </pivotArea>
    </format>
    <format dxfId="2887">
      <pivotArea dataOnly="0" labelOnly="1" fieldPosition="0">
        <references count="2">
          <reference field="0" count="1" selected="0">
            <x v="69"/>
          </reference>
          <reference field="1" count="1">
            <x v="11"/>
          </reference>
        </references>
      </pivotArea>
    </format>
    <format dxfId="2888">
      <pivotArea dataOnly="0" labelOnly="1" fieldPosition="0">
        <references count="2">
          <reference field="0" count="1" selected="0">
            <x v="70"/>
          </reference>
          <reference field="1" count="2">
            <x v="92"/>
            <x v="93"/>
          </reference>
        </references>
      </pivotArea>
    </format>
    <format dxfId="2889">
      <pivotArea dataOnly="0" labelOnly="1" fieldPosition="0">
        <references count="2">
          <reference field="0" count="1" selected="0">
            <x v="71"/>
          </reference>
          <reference field="1" count="1">
            <x v="94"/>
          </reference>
        </references>
      </pivotArea>
    </format>
    <format dxfId="2890">
      <pivotArea dataOnly="0" labelOnly="1" fieldPosition="0">
        <references count="2">
          <reference field="0" count="1" selected="0">
            <x v="72"/>
          </reference>
          <reference field="1" count="1">
            <x v="95"/>
          </reference>
        </references>
      </pivotArea>
    </format>
    <format dxfId="2891">
      <pivotArea dataOnly="0" labelOnly="1" fieldPosition="0">
        <references count="2">
          <reference field="0" count="1" selected="0">
            <x v="73"/>
          </reference>
          <reference field="1" count="2">
            <x v="96"/>
            <x v="97"/>
          </reference>
        </references>
      </pivotArea>
    </format>
    <format dxfId="2892">
      <pivotArea dataOnly="0" labelOnly="1" fieldPosition="0">
        <references count="2">
          <reference field="0" count="1" selected="0">
            <x v="74"/>
          </reference>
          <reference field="1" count="1">
            <x v="98"/>
          </reference>
        </references>
      </pivotArea>
    </format>
    <format dxfId="2893">
      <pivotArea dataOnly="0" labelOnly="1" fieldPosition="0">
        <references count="2">
          <reference field="0" count="1" selected="0">
            <x v="75"/>
          </reference>
          <reference field="1" count="1">
            <x v="3"/>
          </reference>
        </references>
      </pivotArea>
    </format>
    <format dxfId="2894">
      <pivotArea dataOnly="0" labelOnly="1" fieldPosition="0">
        <references count="2">
          <reference field="0" count="1" selected="0">
            <x v="76"/>
          </reference>
          <reference field="1" count="1">
            <x v="99"/>
          </reference>
        </references>
      </pivotArea>
    </format>
    <format dxfId="2895">
      <pivotArea dataOnly="0" labelOnly="1" fieldPosition="0">
        <references count="2">
          <reference field="0" count="1" selected="0">
            <x v="77"/>
          </reference>
          <reference field="1" count="2">
            <x v="100"/>
            <x v="101"/>
          </reference>
        </references>
      </pivotArea>
    </format>
    <format dxfId="2896">
      <pivotArea dataOnly="0" labelOnly="1" fieldPosition="0">
        <references count="2">
          <reference field="0" count="1" selected="0">
            <x v="78"/>
          </reference>
          <reference field="1" count="1">
            <x v="102"/>
          </reference>
        </references>
      </pivotArea>
    </format>
    <format dxfId="2897">
      <pivotArea dataOnly="0" labelOnly="1" fieldPosition="0">
        <references count="2">
          <reference field="0" count="1" selected="0">
            <x v="79"/>
          </reference>
          <reference field="1" count="1">
            <x v="103"/>
          </reference>
        </references>
      </pivotArea>
    </format>
    <format dxfId="2898">
      <pivotArea dataOnly="0" labelOnly="1" fieldPosition="0">
        <references count="2">
          <reference field="0" count="1" selected="0">
            <x v="80"/>
          </reference>
          <reference field="1" count="1">
            <x v="104"/>
          </reference>
        </references>
      </pivotArea>
    </format>
    <format dxfId="2899">
      <pivotArea outline="0" collapsedLevelsAreSubtotals="1" fieldPosition="0"/>
    </format>
    <format dxfId="2900">
      <pivotArea dataOnly="0" labelOnly="1" outline="0" fieldPosition="0">
        <references count="1">
          <reference field="4294967294" count="6">
            <x v="0"/>
            <x v="1"/>
            <x v="2"/>
            <x v="3"/>
            <x v="4"/>
            <x v="5"/>
          </reference>
        </references>
      </pivotArea>
    </format>
    <format dxfId="2901">
      <pivotArea outline="0" collapsedLevelsAreSubtotals="1" fieldPosition="0"/>
    </format>
    <format dxfId="290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903">
      <pivotArea dataOnly="0" labelOnly="1" fieldPosition="0">
        <references count="1">
          <reference field="0" count="31">
            <x v="50"/>
            <x v="51"/>
            <x v="52"/>
            <x v="53"/>
            <x v="54"/>
            <x v="55"/>
            <x v="56"/>
            <x v="57"/>
            <x v="58"/>
            <x v="59"/>
            <x v="60"/>
            <x v="61"/>
            <x v="62"/>
            <x v="63"/>
            <x v="64"/>
            <x v="65"/>
            <x v="66"/>
            <x v="67"/>
            <x v="68"/>
            <x v="69"/>
            <x v="70"/>
            <x v="71"/>
            <x v="72"/>
            <x v="73"/>
            <x v="74"/>
            <x v="75"/>
            <x v="76"/>
            <x v="77"/>
            <x v="78"/>
            <x v="79"/>
            <x v="80"/>
          </reference>
        </references>
      </pivotArea>
    </format>
    <format dxfId="2904">
      <pivotArea dataOnly="0" labelOnly="1" grandRow="1" outline="0" fieldPosition="0"/>
    </format>
    <format dxfId="2905">
      <pivotArea dataOnly="0" labelOnly="1" fieldPosition="0">
        <references count="2">
          <reference field="0" count="1" selected="0">
            <x v="0"/>
          </reference>
          <reference field="1" count="4">
            <x v="12"/>
            <x v="13"/>
            <x v="14"/>
            <x v="15"/>
          </reference>
        </references>
      </pivotArea>
    </format>
    <format dxfId="2906">
      <pivotArea dataOnly="0" labelOnly="1" fieldPosition="0">
        <references count="2">
          <reference field="0" count="1" selected="0">
            <x v="1"/>
          </reference>
          <reference field="1" count="2">
            <x v="16"/>
            <x v="17"/>
          </reference>
        </references>
      </pivotArea>
    </format>
    <format dxfId="2907">
      <pivotArea dataOnly="0" labelOnly="1" fieldPosition="0">
        <references count="2">
          <reference field="0" count="1" selected="0">
            <x v="2"/>
          </reference>
          <reference field="1" count="1">
            <x v="18"/>
          </reference>
        </references>
      </pivotArea>
    </format>
    <format dxfId="2908">
      <pivotArea dataOnly="0" labelOnly="1" fieldPosition="0">
        <references count="2">
          <reference field="0" count="1" selected="0">
            <x v="3"/>
          </reference>
          <reference field="1" count="1">
            <x v="19"/>
          </reference>
        </references>
      </pivotArea>
    </format>
    <format dxfId="2909">
      <pivotArea dataOnly="0" labelOnly="1" fieldPosition="0">
        <references count="2">
          <reference field="0" count="1" selected="0">
            <x v="4"/>
          </reference>
          <reference field="1" count="1">
            <x v="20"/>
          </reference>
        </references>
      </pivotArea>
    </format>
    <format dxfId="2910">
      <pivotArea dataOnly="0" labelOnly="1" fieldPosition="0">
        <references count="2">
          <reference field="0" count="1" selected="0">
            <x v="5"/>
          </reference>
          <reference field="1" count="1">
            <x v="21"/>
          </reference>
        </references>
      </pivotArea>
    </format>
    <format dxfId="2911">
      <pivotArea dataOnly="0" labelOnly="1" fieldPosition="0">
        <references count="2">
          <reference field="0" count="1" selected="0">
            <x v="6"/>
          </reference>
          <reference field="1" count="1">
            <x v="22"/>
          </reference>
        </references>
      </pivotArea>
    </format>
    <format dxfId="2912">
      <pivotArea dataOnly="0" labelOnly="1" fieldPosition="0">
        <references count="2">
          <reference field="0" count="1" selected="0">
            <x v="7"/>
          </reference>
          <reference field="1" count="1">
            <x v="23"/>
          </reference>
        </references>
      </pivotArea>
    </format>
    <format dxfId="2913">
      <pivotArea dataOnly="0" labelOnly="1" fieldPosition="0">
        <references count="2">
          <reference field="0" count="1" selected="0">
            <x v="8"/>
          </reference>
          <reference field="1" count="1">
            <x v="24"/>
          </reference>
        </references>
      </pivotArea>
    </format>
    <format dxfId="2914">
      <pivotArea dataOnly="0" labelOnly="1" fieldPosition="0">
        <references count="2">
          <reference field="0" count="1" selected="0">
            <x v="9"/>
          </reference>
          <reference field="1" count="2">
            <x v="25"/>
            <x v="26"/>
          </reference>
        </references>
      </pivotArea>
    </format>
    <format dxfId="2915">
      <pivotArea dataOnly="0" labelOnly="1" fieldPosition="0">
        <references count="2">
          <reference field="0" count="1" selected="0">
            <x v="10"/>
          </reference>
          <reference field="1" count="1">
            <x v="27"/>
          </reference>
        </references>
      </pivotArea>
    </format>
    <format dxfId="2916">
      <pivotArea dataOnly="0" labelOnly="1" fieldPosition="0">
        <references count="2">
          <reference field="0" count="1" selected="0">
            <x v="11"/>
          </reference>
          <reference field="1" count="1">
            <x v="28"/>
          </reference>
        </references>
      </pivotArea>
    </format>
    <format dxfId="2917">
      <pivotArea dataOnly="0" labelOnly="1" fieldPosition="0">
        <references count="2">
          <reference field="0" count="1" selected="0">
            <x v="12"/>
          </reference>
          <reference field="1" count="1">
            <x v="29"/>
          </reference>
        </references>
      </pivotArea>
    </format>
    <format dxfId="2918">
      <pivotArea dataOnly="0" labelOnly="1" fieldPosition="0">
        <references count="2">
          <reference field="0" count="1" selected="0">
            <x v="13"/>
          </reference>
          <reference field="1" count="1">
            <x v="30"/>
          </reference>
        </references>
      </pivotArea>
    </format>
    <format dxfId="2919">
      <pivotArea dataOnly="0" labelOnly="1" fieldPosition="0">
        <references count="2">
          <reference field="0" count="1" selected="0">
            <x v="14"/>
          </reference>
          <reference field="1" count="2">
            <x v="31"/>
            <x v="32"/>
          </reference>
        </references>
      </pivotArea>
    </format>
    <format dxfId="2920">
      <pivotArea dataOnly="0" labelOnly="1" fieldPosition="0">
        <references count="2">
          <reference field="0" count="1" selected="0">
            <x v="15"/>
          </reference>
          <reference field="1" count="1">
            <x v="33"/>
          </reference>
        </references>
      </pivotArea>
    </format>
    <format dxfId="2921">
      <pivotArea dataOnly="0" labelOnly="1" fieldPosition="0">
        <references count="2">
          <reference field="0" count="1" selected="0">
            <x v="16"/>
          </reference>
          <reference field="1" count="1">
            <x v="34"/>
          </reference>
        </references>
      </pivotArea>
    </format>
    <format dxfId="2922">
      <pivotArea dataOnly="0" labelOnly="1" fieldPosition="0">
        <references count="2">
          <reference field="0" count="1" selected="0">
            <x v="17"/>
          </reference>
          <reference field="1" count="1">
            <x v="35"/>
          </reference>
        </references>
      </pivotArea>
    </format>
    <format dxfId="2923">
      <pivotArea dataOnly="0" labelOnly="1" fieldPosition="0">
        <references count="2">
          <reference field="0" count="1" selected="0">
            <x v="18"/>
          </reference>
          <reference field="1" count="1">
            <x v="36"/>
          </reference>
        </references>
      </pivotArea>
    </format>
    <format dxfId="2924">
      <pivotArea dataOnly="0" labelOnly="1" fieldPosition="0">
        <references count="2">
          <reference field="0" count="1" selected="0">
            <x v="19"/>
          </reference>
          <reference field="1" count="1">
            <x v="37"/>
          </reference>
        </references>
      </pivotArea>
    </format>
    <format dxfId="2925">
      <pivotArea dataOnly="0" labelOnly="1" fieldPosition="0">
        <references count="2">
          <reference field="0" count="1" selected="0">
            <x v="20"/>
          </reference>
          <reference field="1" count="1">
            <x v="38"/>
          </reference>
        </references>
      </pivotArea>
    </format>
    <format dxfId="2926">
      <pivotArea dataOnly="0" labelOnly="1" fieldPosition="0">
        <references count="2">
          <reference field="0" count="1" selected="0">
            <x v="21"/>
          </reference>
          <reference field="1" count="1">
            <x v="39"/>
          </reference>
        </references>
      </pivotArea>
    </format>
    <format dxfId="2927">
      <pivotArea dataOnly="0" labelOnly="1" fieldPosition="0">
        <references count="2">
          <reference field="0" count="1" selected="0">
            <x v="22"/>
          </reference>
          <reference field="1" count="1">
            <x v="40"/>
          </reference>
        </references>
      </pivotArea>
    </format>
    <format dxfId="2928">
      <pivotArea dataOnly="0" labelOnly="1" fieldPosition="0">
        <references count="2">
          <reference field="0" count="1" selected="0">
            <x v="23"/>
          </reference>
          <reference field="1" count="3">
            <x v="41"/>
            <x v="42"/>
            <x v="43"/>
          </reference>
        </references>
      </pivotArea>
    </format>
    <format dxfId="2929">
      <pivotArea dataOnly="0" labelOnly="1" fieldPosition="0">
        <references count="2">
          <reference field="0" count="1" selected="0">
            <x v="24"/>
          </reference>
          <reference field="1" count="3">
            <x v="44"/>
            <x v="45"/>
            <x v="46"/>
          </reference>
        </references>
      </pivotArea>
    </format>
    <format dxfId="2930">
      <pivotArea dataOnly="0" labelOnly="1" fieldPosition="0">
        <references count="2">
          <reference field="0" count="1" selected="0">
            <x v="25"/>
          </reference>
          <reference field="1" count="2">
            <x v="47"/>
            <x v="48"/>
          </reference>
        </references>
      </pivotArea>
    </format>
    <format dxfId="2931">
      <pivotArea dataOnly="0" labelOnly="1" fieldPosition="0">
        <references count="2">
          <reference field="0" count="1" selected="0">
            <x v="26"/>
          </reference>
          <reference field="1" count="2">
            <x v="49"/>
            <x v="50"/>
          </reference>
        </references>
      </pivotArea>
    </format>
    <format dxfId="2932">
      <pivotArea dataOnly="0" labelOnly="1" fieldPosition="0">
        <references count="2">
          <reference field="0" count="1" selected="0">
            <x v="27"/>
          </reference>
          <reference field="1" count="1">
            <x v="51"/>
          </reference>
        </references>
      </pivotArea>
    </format>
    <format dxfId="2933">
      <pivotArea dataOnly="0" labelOnly="1" fieldPosition="0">
        <references count="2">
          <reference field="0" count="1" selected="0">
            <x v="28"/>
          </reference>
          <reference field="1" count="1">
            <x v="52"/>
          </reference>
        </references>
      </pivotArea>
    </format>
    <format dxfId="2934">
      <pivotArea dataOnly="0" labelOnly="1" fieldPosition="0">
        <references count="2">
          <reference field="0" count="1" selected="0">
            <x v="29"/>
          </reference>
          <reference field="1" count="1">
            <x v="53"/>
          </reference>
        </references>
      </pivotArea>
    </format>
    <format dxfId="2935">
      <pivotArea dataOnly="0" labelOnly="1" fieldPosition="0">
        <references count="2">
          <reference field="0" count="1" selected="0">
            <x v="30"/>
          </reference>
          <reference field="1" count="1">
            <x v="54"/>
          </reference>
        </references>
      </pivotArea>
    </format>
    <format dxfId="2936">
      <pivotArea dataOnly="0" labelOnly="1" fieldPosition="0">
        <references count="2">
          <reference field="0" count="1" selected="0">
            <x v="31"/>
          </reference>
          <reference field="1" count="1">
            <x v="55"/>
          </reference>
        </references>
      </pivotArea>
    </format>
    <format dxfId="2937">
      <pivotArea dataOnly="0" labelOnly="1" fieldPosition="0">
        <references count="2">
          <reference field="0" count="1" selected="0">
            <x v="32"/>
          </reference>
          <reference field="1" count="1">
            <x v="56"/>
          </reference>
        </references>
      </pivotArea>
    </format>
    <format dxfId="2938">
      <pivotArea dataOnly="0" labelOnly="1" fieldPosition="0">
        <references count="2">
          <reference field="0" count="1" selected="0">
            <x v="33"/>
          </reference>
          <reference field="1" count="1">
            <x v="57"/>
          </reference>
        </references>
      </pivotArea>
    </format>
    <format dxfId="2939">
      <pivotArea dataOnly="0" labelOnly="1" fieldPosition="0">
        <references count="2">
          <reference field="0" count="1" selected="0">
            <x v="34"/>
          </reference>
          <reference field="1" count="1">
            <x v="9"/>
          </reference>
        </references>
      </pivotArea>
    </format>
    <format dxfId="2940">
      <pivotArea dataOnly="0" labelOnly="1" fieldPosition="0">
        <references count="2">
          <reference field="0" count="1" selected="0">
            <x v="35"/>
          </reference>
          <reference field="1" count="1">
            <x v="58"/>
          </reference>
        </references>
      </pivotArea>
    </format>
    <format dxfId="2941">
      <pivotArea dataOnly="0" labelOnly="1" fieldPosition="0">
        <references count="2">
          <reference field="0" count="1" selected="0">
            <x v="36"/>
          </reference>
          <reference field="1" count="2">
            <x v="59"/>
            <x v="60"/>
          </reference>
        </references>
      </pivotArea>
    </format>
    <format dxfId="2942">
      <pivotArea dataOnly="0" labelOnly="1" fieldPosition="0">
        <references count="2">
          <reference field="0" count="1" selected="0">
            <x v="37"/>
          </reference>
          <reference field="1" count="2">
            <x v="0"/>
            <x v="1"/>
          </reference>
        </references>
      </pivotArea>
    </format>
    <format dxfId="2943">
      <pivotArea dataOnly="0" labelOnly="1" fieldPosition="0">
        <references count="2">
          <reference field="0" count="1" selected="0">
            <x v="38"/>
          </reference>
          <reference field="1" count="2">
            <x v="61"/>
            <x v="62"/>
          </reference>
        </references>
      </pivotArea>
    </format>
    <format dxfId="2944">
      <pivotArea dataOnly="0" labelOnly="1" fieldPosition="0">
        <references count="2">
          <reference field="0" count="1" selected="0">
            <x v="39"/>
          </reference>
          <reference field="1" count="1">
            <x v="10"/>
          </reference>
        </references>
      </pivotArea>
    </format>
    <format dxfId="2945">
      <pivotArea dataOnly="0" labelOnly="1" fieldPosition="0">
        <references count="2">
          <reference field="0" count="1" selected="0">
            <x v="40"/>
          </reference>
          <reference field="1" count="1">
            <x v="63"/>
          </reference>
        </references>
      </pivotArea>
    </format>
    <format dxfId="2946">
      <pivotArea dataOnly="0" labelOnly="1" fieldPosition="0">
        <references count="2">
          <reference field="0" count="1" selected="0">
            <x v="41"/>
          </reference>
          <reference field="1" count="1">
            <x v="64"/>
          </reference>
        </references>
      </pivotArea>
    </format>
    <format dxfId="2947">
      <pivotArea dataOnly="0" labelOnly="1" fieldPosition="0">
        <references count="2">
          <reference field="0" count="1" selected="0">
            <x v="42"/>
          </reference>
          <reference field="1" count="1">
            <x v="4"/>
          </reference>
        </references>
      </pivotArea>
    </format>
    <format dxfId="2948">
      <pivotArea dataOnly="0" labelOnly="1" fieldPosition="0">
        <references count="2">
          <reference field="0" count="1" selected="0">
            <x v="43"/>
          </reference>
          <reference field="1" count="2">
            <x v="65"/>
            <x v="66"/>
          </reference>
        </references>
      </pivotArea>
    </format>
    <format dxfId="2949">
      <pivotArea dataOnly="0" labelOnly="1" fieldPosition="0">
        <references count="2">
          <reference field="0" count="1" selected="0">
            <x v="44"/>
          </reference>
          <reference field="1" count="1">
            <x v="67"/>
          </reference>
        </references>
      </pivotArea>
    </format>
    <format dxfId="2950">
      <pivotArea dataOnly="0" labelOnly="1" fieldPosition="0">
        <references count="2">
          <reference field="0" count="1" selected="0">
            <x v="45"/>
          </reference>
          <reference field="1" count="1">
            <x v="68"/>
          </reference>
        </references>
      </pivotArea>
    </format>
    <format dxfId="2951">
      <pivotArea dataOnly="0" labelOnly="1" fieldPosition="0">
        <references count="2">
          <reference field="0" count="1" selected="0">
            <x v="46"/>
          </reference>
          <reference field="1" count="1">
            <x v="69"/>
          </reference>
        </references>
      </pivotArea>
    </format>
    <format dxfId="2952">
      <pivotArea dataOnly="0" labelOnly="1" fieldPosition="0">
        <references count="2">
          <reference field="0" count="1" selected="0">
            <x v="47"/>
          </reference>
          <reference field="1" count="1">
            <x v="70"/>
          </reference>
        </references>
      </pivotArea>
    </format>
    <format dxfId="2953">
      <pivotArea dataOnly="0" labelOnly="1" fieldPosition="0">
        <references count="2">
          <reference field="0" count="1" selected="0">
            <x v="48"/>
          </reference>
          <reference field="1" count="1">
            <x v="71"/>
          </reference>
        </references>
      </pivotArea>
    </format>
    <format dxfId="2954">
      <pivotArea dataOnly="0" labelOnly="1" fieldPosition="0">
        <references count="2">
          <reference field="0" count="1" selected="0">
            <x v="49"/>
          </reference>
          <reference field="1" count="1">
            <x v="72"/>
          </reference>
        </references>
      </pivotArea>
    </format>
    <format dxfId="2955">
      <pivotArea dataOnly="0" labelOnly="1" fieldPosition="0">
        <references count="2">
          <reference field="0" count="1" selected="0">
            <x v="50"/>
          </reference>
          <reference field="1" count="1">
            <x v="73"/>
          </reference>
        </references>
      </pivotArea>
    </format>
    <format dxfId="2956">
      <pivotArea dataOnly="0" labelOnly="1" fieldPosition="0">
        <references count="2">
          <reference field="0" count="1" selected="0">
            <x v="51"/>
          </reference>
          <reference field="1" count="1">
            <x v="74"/>
          </reference>
        </references>
      </pivotArea>
    </format>
    <format dxfId="2957">
      <pivotArea dataOnly="0" labelOnly="1" fieldPosition="0">
        <references count="2">
          <reference field="0" count="1" selected="0">
            <x v="52"/>
          </reference>
          <reference field="1" count="1">
            <x v="75"/>
          </reference>
        </references>
      </pivotArea>
    </format>
    <format dxfId="2958">
      <pivotArea dataOnly="0" labelOnly="1" fieldPosition="0">
        <references count="2">
          <reference field="0" count="1" selected="0">
            <x v="53"/>
          </reference>
          <reference field="1" count="1">
            <x v="76"/>
          </reference>
        </references>
      </pivotArea>
    </format>
    <format dxfId="2959">
      <pivotArea dataOnly="0" labelOnly="1" fieldPosition="0">
        <references count="2">
          <reference field="0" count="1" selected="0">
            <x v="54"/>
          </reference>
          <reference field="1" count="1">
            <x v="77"/>
          </reference>
        </references>
      </pivotArea>
    </format>
    <format dxfId="2960">
      <pivotArea dataOnly="0" labelOnly="1" fieldPosition="0">
        <references count="2">
          <reference field="0" count="1" selected="0">
            <x v="55"/>
          </reference>
          <reference field="1" count="1">
            <x v="8"/>
          </reference>
        </references>
      </pivotArea>
    </format>
    <format dxfId="2961">
      <pivotArea dataOnly="0" labelOnly="1" fieldPosition="0">
        <references count="2">
          <reference field="0" count="1" selected="0">
            <x v="56"/>
          </reference>
          <reference field="1" count="1">
            <x v="78"/>
          </reference>
        </references>
      </pivotArea>
    </format>
    <format dxfId="2962">
      <pivotArea dataOnly="0" labelOnly="1" fieldPosition="0">
        <references count="2">
          <reference field="0" count="1" selected="0">
            <x v="57"/>
          </reference>
          <reference field="1" count="1">
            <x v="79"/>
          </reference>
        </references>
      </pivotArea>
    </format>
    <format dxfId="2963">
      <pivotArea dataOnly="0" labelOnly="1" fieldPosition="0">
        <references count="2">
          <reference field="0" count="1" selected="0">
            <x v="58"/>
          </reference>
          <reference field="1" count="2">
            <x v="80"/>
            <x v="81"/>
          </reference>
        </references>
      </pivotArea>
    </format>
    <format dxfId="2964">
      <pivotArea dataOnly="0" labelOnly="1" fieldPosition="0">
        <references count="2">
          <reference field="0" count="1" selected="0">
            <x v="59"/>
          </reference>
          <reference field="1" count="1">
            <x v="82"/>
          </reference>
        </references>
      </pivotArea>
    </format>
    <format dxfId="2965">
      <pivotArea dataOnly="0" labelOnly="1" fieldPosition="0">
        <references count="2">
          <reference field="0" count="1" selected="0">
            <x v="60"/>
          </reference>
          <reference field="1" count="1">
            <x v="83"/>
          </reference>
        </references>
      </pivotArea>
    </format>
    <format dxfId="2966">
      <pivotArea dataOnly="0" labelOnly="1" fieldPosition="0">
        <references count="2">
          <reference field="0" count="1" selected="0">
            <x v="61"/>
          </reference>
          <reference field="1" count="3">
            <x v="5"/>
            <x v="6"/>
            <x v="7"/>
          </reference>
        </references>
      </pivotArea>
    </format>
    <format dxfId="2967">
      <pivotArea dataOnly="0" labelOnly="1" fieldPosition="0">
        <references count="2">
          <reference field="0" count="1" selected="0">
            <x v="62"/>
          </reference>
          <reference field="1" count="2">
            <x v="84"/>
            <x v="85"/>
          </reference>
        </references>
      </pivotArea>
    </format>
    <format dxfId="2968">
      <pivotArea dataOnly="0" labelOnly="1" fieldPosition="0">
        <references count="2">
          <reference field="0" count="1" selected="0">
            <x v="63"/>
          </reference>
          <reference field="1" count="1">
            <x v="2"/>
          </reference>
        </references>
      </pivotArea>
    </format>
    <format dxfId="2969">
      <pivotArea dataOnly="0" labelOnly="1" fieldPosition="0">
        <references count="2">
          <reference field="0" count="1" selected="0">
            <x v="64"/>
          </reference>
          <reference field="1" count="1">
            <x v="86"/>
          </reference>
        </references>
      </pivotArea>
    </format>
    <format dxfId="2970">
      <pivotArea dataOnly="0" labelOnly="1" fieldPosition="0">
        <references count="2">
          <reference field="0" count="1" selected="0">
            <x v="65"/>
          </reference>
          <reference field="1" count="1">
            <x v="87"/>
          </reference>
        </references>
      </pivotArea>
    </format>
    <format dxfId="2971">
      <pivotArea dataOnly="0" labelOnly="1" fieldPosition="0">
        <references count="2">
          <reference field="0" count="1" selected="0">
            <x v="66"/>
          </reference>
          <reference field="1" count="1">
            <x v="88"/>
          </reference>
        </references>
      </pivotArea>
    </format>
    <format dxfId="2972">
      <pivotArea dataOnly="0" labelOnly="1" fieldPosition="0">
        <references count="2">
          <reference field="0" count="1" selected="0">
            <x v="67"/>
          </reference>
          <reference field="1" count="1">
            <x v="89"/>
          </reference>
        </references>
      </pivotArea>
    </format>
    <format dxfId="2973">
      <pivotArea dataOnly="0" labelOnly="1" fieldPosition="0">
        <references count="2">
          <reference field="0" count="1" selected="0">
            <x v="68"/>
          </reference>
          <reference field="1" count="2">
            <x v="90"/>
            <x v="91"/>
          </reference>
        </references>
      </pivotArea>
    </format>
    <format dxfId="2974">
      <pivotArea dataOnly="0" labelOnly="1" fieldPosition="0">
        <references count="2">
          <reference field="0" count="1" selected="0">
            <x v="69"/>
          </reference>
          <reference field="1" count="1">
            <x v="11"/>
          </reference>
        </references>
      </pivotArea>
    </format>
    <format dxfId="2975">
      <pivotArea dataOnly="0" labelOnly="1" fieldPosition="0">
        <references count="2">
          <reference field="0" count="1" selected="0">
            <x v="70"/>
          </reference>
          <reference field="1" count="2">
            <x v="92"/>
            <x v="93"/>
          </reference>
        </references>
      </pivotArea>
    </format>
    <format dxfId="2976">
      <pivotArea dataOnly="0" labelOnly="1" fieldPosition="0">
        <references count="2">
          <reference field="0" count="1" selected="0">
            <x v="71"/>
          </reference>
          <reference field="1" count="1">
            <x v="94"/>
          </reference>
        </references>
      </pivotArea>
    </format>
    <format dxfId="2977">
      <pivotArea dataOnly="0" labelOnly="1" fieldPosition="0">
        <references count="2">
          <reference field="0" count="1" selected="0">
            <x v="72"/>
          </reference>
          <reference field="1" count="1">
            <x v="95"/>
          </reference>
        </references>
      </pivotArea>
    </format>
    <format dxfId="2978">
      <pivotArea dataOnly="0" labelOnly="1" fieldPosition="0">
        <references count="2">
          <reference field="0" count="1" selected="0">
            <x v="73"/>
          </reference>
          <reference field="1" count="2">
            <x v="96"/>
            <x v="97"/>
          </reference>
        </references>
      </pivotArea>
    </format>
    <format dxfId="2979">
      <pivotArea dataOnly="0" labelOnly="1" fieldPosition="0">
        <references count="2">
          <reference field="0" count="1" selected="0">
            <x v="74"/>
          </reference>
          <reference field="1" count="1">
            <x v="98"/>
          </reference>
        </references>
      </pivotArea>
    </format>
    <format dxfId="2980">
      <pivotArea dataOnly="0" labelOnly="1" fieldPosition="0">
        <references count="2">
          <reference field="0" count="1" selected="0">
            <x v="75"/>
          </reference>
          <reference field="1" count="1">
            <x v="3"/>
          </reference>
        </references>
      </pivotArea>
    </format>
    <format dxfId="2981">
      <pivotArea dataOnly="0" labelOnly="1" fieldPosition="0">
        <references count="2">
          <reference field="0" count="1" selected="0">
            <x v="76"/>
          </reference>
          <reference field="1" count="1">
            <x v="99"/>
          </reference>
        </references>
      </pivotArea>
    </format>
    <format dxfId="2982">
      <pivotArea dataOnly="0" labelOnly="1" fieldPosition="0">
        <references count="2">
          <reference field="0" count="1" selected="0">
            <x v="77"/>
          </reference>
          <reference field="1" count="2">
            <x v="100"/>
            <x v="101"/>
          </reference>
        </references>
      </pivotArea>
    </format>
    <format dxfId="2983">
      <pivotArea dataOnly="0" labelOnly="1" fieldPosition="0">
        <references count="2">
          <reference field="0" count="1" selected="0">
            <x v="78"/>
          </reference>
          <reference field="1" count="1">
            <x v="102"/>
          </reference>
        </references>
      </pivotArea>
    </format>
    <format dxfId="2984">
      <pivotArea dataOnly="0" labelOnly="1" fieldPosition="0">
        <references count="2">
          <reference field="0" count="1" selected="0">
            <x v="79"/>
          </reference>
          <reference field="1" count="1">
            <x v="103"/>
          </reference>
        </references>
      </pivotArea>
    </format>
    <format dxfId="2985">
      <pivotArea dataOnly="0" labelOnly="1" fieldPosition="0">
        <references count="2">
          <reference field="0" count="1" selected="0">
            <x v="80"/>
          </reference>
          <reference field="1" count="1">
            <x v="104"/>
          </reference>
        </references>
      </pivotArea>
    </format>
    <format dxfId="2986">
      <pivotArea collapsedLevelsAreSubtotals="1" fieldPosition="0">
        <references count="2">
          <reference field="4294967294" count="1" selected="0">
            <x v="5"/>
          </reference>
          <reference field="0" count="1">
            <x v="0"/>
          </reference>
        </references>
      </pivotArea>
    </format>
    <format dxfId="2987">
      <pivotArea collapsedLevelsAreSubtotals="1" fieldPosition="0">
        <references count="3">
          <reference field="4294967294" count="1" selected="0">
            <x v="5"/>
          </reference>
          <reference field="0" count="1" selected="0">
            <x v="0"/>
          </reference>
          <reference field="1" count="4">
            <x v="12"/>
            <x v="13"/>
            <x v="14"/>
            <x v="15"/>
          </reference>
        </references>
      </pivotArea>
    </format>
    <format dxfId="2988">
      <pivotArea collapsedLevelsAreSubtotals="1" fieldPosition="0">
        <references count="2">
          <reference field="4294967294" count="1" selected="0">
            <x v="5"/>
          </reference>
          <reference field="0" count="1">
            <x v="1"/>
          </reference>
        </references>
      </pivotArea>
    </format>
    <format dxfId="2989">
      <pivotArea collapsedLevelsAreSubtotals="1" fieldPosition="0">
        <references count="3">
          <reference field="4294967294" count="1" selected="0">
            <x v="5"/>
          </reference>
          <reference field="0" count="1" selected="0">
            <x v="1"/>
          </reference>
          <reference field="1" count="2">
            <x v="16"/>
            <x v="17"/>
          </reference>
        </references>
      </pivotArea>
    </format>
    <format dxfId="2990">
      <pivotArea collapsedLevelsAreSubtotals="1" fieldPosition="0">
        <references count="2">
          <reference field="4294967294" count="1" selected="0">
            <x v="5"/>
          </reference>
          <reference field="0" count="1">
            <x v="2"/>
          </reference>
        </references>
      </pivotArea>
    </format>
    <format dxfId="2991">
      <pivotArea collapsedLevelsAreSubtotals="1" fieldPosition="0">
        <references count="3">
          <reference field="4294967294" count="1" selected="0">
            <x v="5"/>
          </reference>
          <reference field="0" count="1" selected="0">
            <x v="2"/>
          </reference>
          <reference field="1" count="1">
            <x v="18"/>
          </reference>
        </references>
      </pivotArea>
    </format>
    <format dxfId="2992">
      <pivotArea collapsedLevelsAreSubtotals="1" fieldPosition="0">
        <references count="2">
          <reference field="4294967294" count="1" selected="0">
            <x v="5"/>
          </reference>
          <reference field="0" count="1">
            <x v="3"/>
          </reference>
        </references>
      </pivotArea>
    </format>
    <format dxfId="2993">
      <pivotArea collapsedLevelsAreSubtotals="1" fieldPosition="0">
        <references count="3">
          <reference field="4294967294" count="1" selected="0">
            <x v="5"/>
          </reference>
          <reference field="0" count="1" selected="0">
            <x v="3"/>
          </reference>
          <reference field="1" count="1">
            <x v="19"/>
          </reference>
        </references>
      </pivotArea>
    </format>
    <format dxfId="2994">
      <pivotArea collapsedLevelsAreSubtotals="1" fieldPosition="0">
        <references count="2">
          <reference field="4294967294" count="1" selected="0">
            <x v="5"/>
          </reference>
          <reference field="0" count="1">
            <x v="4"/>
          </reference>
        </references>
      </pivotArea>
    </format>
    <format dxfId="2995">
      <pivotArea collapsedLevelsAreSubtotals="1" fieldPosition="0">
        <references count="3">
          <reference field="4294967294" count="1" selected="0">
            <x v="5"/>
          </reference>
          <reference field="0" count="1" selected="0">
            <x v="4"/>
          </reference>
          <reference field="1" count="1">
            <x v="20"/>
          </reference>
        </references>
      </pivotArea>
    </format>
    <format dxfId="2996">
      <pivotArea collapsedLevelsAreSubtotals="1" fieldPosition="0">
        <references count="2">
          <reference field="4294967294" count="1" selected="0">
            <x v="5"/>
          </reference>
          <reference field="0" count="1">
            <x v="5"/>
          </reference>
        </references>
      </pivotArea>
    </format>
    <format dxfId="2997">
      <pivotArea collapsedLevelsAreSubtotals="1" fieldPosition="0">
        <references count="3">
          <reference field="4294967294" count="1" selected="0">
            <x v="5"/>
          </reference>
          <reference field="0" count="1" selected="0">
            <x v="5"/>
          </reference>
          <reference field="1" count="1">
            <x v="21"/>
          </reference>
        </references>
      </pivotArea>
    </format>
    <format dxfId="2998">
      <pivotArea collapsedLevelsAreSubtotals="1" fieldPosition="0">
        <references count="2">
          <reference field="4294967294" count="1" selected="0">
            <x v="5"/>
          </reference>
          <reference field="0" count="1">
            <x v="6"/>
          </reference>
        </references>
      </pivotArea>
    </format>
    <format dxfId="2999">
      <pivotArea collapsedLevelsAreSubtotals="1" fieldPosition="0">
        <references count="3">
          <reference field="4294967294" count="1" selected="0">
            <x v="5"/>
          </reference>
          <reference field="0" count="1" selected="0">
            <x v="6"/>
          </reference>
          <reference field="1" count="1">
            <x v="22"/>
          </reference>
        </references>
      </pivotArea>
    </format>
    <format dxfId="3000">
      <pivotArea collapsedLevelsAreSubtotals="1" fieldPosition="0">
        <references count="2">
          <reference field="4294967294" count="1" selected="0">
            <x v="5"/>
          </reference>
          <reference field="0" count="1">
            <x v="7"/>
          </reference>
        </references>
      </pivotArea>
    </format>
    <format dxfId="3001">
      <pivotArea collapsedLevelsAreSubtotals="1" fieldPosition="0">
        <references count="3">
          <reference field="4294967294" count="1" selected="0">
            <x v="5"/>
          </reference>
          <reference field="0" count="1" selected="0">
            <x v="7"/>
          </reference>
          <reference field="1" count="1">
            <x v="23"/>
          </reference>
        </references>
      </pivotArea>
    </format>
    <format dxfId="3002">
      <pivotArea collapsedLevelsAreSubtotals="1" fieldPosition="0">
        <references count="2">
          <reference field="4294967294" count="1" selected="0">
            <x v="5"/>
          </reference>
          <reference field="0" count="1">
            <x v="8"/>
          </reference>
        </references>
      </pivotArea>
    </format>
    <format dxfId="3003">
      <pivotArea collapsedLevelsAreSubtotals="1" fieldPosition="0">
        <references count="3">
          <reference field="4294967294" count="1" selected="0">
            <x v="5"/>
          </reference>
          <reference field="0" count="1" selected="0">
            <x v="8"/>
          </reference>
          <reference field="1" count="1">
            <x v="24"/>
          </reference>
        </references>
      </pivotArea>
    </format>
    <format dxfId="3004">
      <pivotArea collapsedLevelsAreSubtotals="1" fieldPosition="0">
        <references count="2">
          <reference field="4294967294" count="1" selected="0">
            <x v="5"/>
          </reference>
          <reference field="0" count="1">
            <x v="9"/>
          </reference>
        </references>
      </pivotArea>
    </format>
    <format dxfId="3005">
      <pivotArea collapsedLevelsAreSubtotals="1" fieldPosition="0">
        <references count="3">
          <reference field="4294967294" count="1" selected="0">
            <x v="5"/>
          </reference>
          <reference field="0" count="1" selected="0">
            <x v="9"/>
          </reference>
          <reference field="1" count="2">
            <x v="25"/>
            <x v="26"/>
          </reference>
        </references>
      </pivotArea>
    </format>
    <format dxfId="3006">
      <pivotArea collapsedLevelsAreSubtotals="1" fieldPosition="0">
        <references count="2">
          <reference field="4294967294" count="1" selected="0">
            <x v="5"/>
          </reference>
          <reference field="0" count="1">
            <x v="10"/>
          </reference>
        </references>
      </pivotArea>
    </format>
    <format dxfId="3007">
      <pivotArea collapsedLevelsAreSubtotals="1" fieldPosition="0">
        <references count="3">
          <reference field="4294967294" count="1" selected="0">
            <x v="5"/>
          </reference>
          <reference field="0" count="1" selected="0">
            <x v="10"/>
          </reference>
          <reference field="1" count="1">
            <x v="27"/>
          </reference>
        </references>
      </pivotArea>
    </format>
    <format dxfId="3008">
      <pivotArea collapsedLevelsAreSubtotals="1" fieldPosition="0">
        <references count="2">
          <reference field="4294967294" count="1" selected="0">
            <x v="5"/>
          </reference>
          <reference field="0" count="1">
            <x v="11"/>
          </reference>
        </references>
      </pivotArea>
    </format>
    <format dxfId="3009">
      <pivotArea collapsedLevelsAreSubtotals="1" fieldPosition="0">
        <references count="3">
          <reference field="4294967294" count="1" selected="0">
            <x v="5"/>
          </reference>
          <reference field="0" count="1" selected="0">
            <x v="11"/>
          </reference>
          <reference field="1" count="1">
            <x v="28"/>
          </reference>
        </references>
      </pivotArea>
    </format>
    <format dxfId="3010">
      <pivotArea collapsedLevelsAreSubtotals="1" fieldPosition="0">
        <references count="2">
          <reference field="4294967294" count="1" selected="0">
            <x v="5"/>
          </reference>
          <reference field="0" count="1">
            <x v="12"/>
          </reference>
        </references>
      </pivotArea>
    </format>
    <format dxfId="3011">
      <pivotArea collapsedLevelsAreSubtotals="1" fieldPosition="0">
        <references count="3">
          <reference field="4294967294" count="1" selected="0">
            <x v="5"/>
          </reference>
          <reference field="0" count="1" selected="0">
            <x v="12"/>
          </reference>
          <reference field="1" count="1">
            <x v="29"/>
          </reference>
        </references>
      </pivotArea>
    </format>
    <format dxfId="3012">
      <pivotArea collapsedLevelsAreSubtotals="1" fieldPosition="0">
        <references count="2">
          <reference field="4294967294" count="1" selected="0">
            <x v="5"/>
          </reference>
          <reference field="0" count="1">
            <x v="13"/>
          </reference>
        </references>
      </pivotArea>
    </format>
    <format dxfId="3013">
      <pivotArea collapsedLevelsAreSubtotals="1" fieldPosition="0">
        <references count="3">
          <reference field="4294967294" count="1" selected="0">
            <x v="5"/>
          </reference>
          <reference field="0" count="1" selected="0">
            <x v="13"/>
          </reference>
          <reference field="1" count="1">
            <x v="30"/>
          </reference>
        </references>
      </pivotArea>
    </format>
    <format dxfId="3014">
      <pivotArea collapsedLevelsAreSubtotals="1" fieldPosition="0">
        <references count="2">
          <reference field="4294967294" count="1" selected="0">
            <x v="5"/>
          </reference>
          <reference field="0" count="1">
            <x v="14"/>
          </reference>
        </references>
      </pivotArea>
    </format>
    <format dxfId="3015">
      <pivotArea collapsedLevelsAreSubtotals="1" fieldPosition="0">
        <references count="3">
          <reference field="4294967294" count="1" selected="0">
            <x v="5"/>
          </reference>
          <reference field="0" count="1" selected="0">
            <x v="14"/>
          </reference>
          <reference field="1" count="2">
            <x v="31"/>
            <x v="32"/>
          </reference>
        </references>
      </pivotArea>
    </format>
    <format dxfId="3016">
      <pivotArea collapsedLevelsAreSubtotals="1" fieldPosition="0">
        <references count="2">
          <reference field="4294967294" count="1" selected="0">
            <x v="5"/>
          </reference>
          <reference field="0" count="1">
            <x v="15"/>
          </reference>
        </references>
      </pivotArea>
    </format>
    <format dxfId="3017">
      <pivotArea collapsedLevelsAreSubtotals="1" fieldPosition="0">
        <references count="3">
          <reference field="4294967294" count="1" selected="0">
            <x v="5"/>
          </reference>
          <reference field="0" count="1" selected="0">
            <x v="15"/>
          </reference>
          <reference field="1" count="1">
            <x v="33"/>
          </reference>
        </references>
      </pivotArea>
    </format>
    <format dxfId="3018">
      <pivotArea collapsedLevelsAreSubtotals="1" fieldPosition="0">
        <references count="2">
          <reference field="4294967294" count="1" selected="0">
            <x v="5"/>
          </reference>
          <reference field="0" count="1">
            <x v="16"/>
          </reference>
        </references>
      </pivotArea>
    </format>
    <format dxfId="3019">
      <pivotArea collapsedLevelsAreSubtotals="1" fieldPosition="0">
        <references count="3">
          <reference field="4294967294" count="1" selected="0">
            <x v="5"/>
          </reference>
          <reference field="0" count="1" selected="0">
            <x v="16"/>
          </reference>
          <reference field="1" count="1">
            <x v="34"/>
          </reference>
        </references>
      </pivotArea>
    </format>
    <format dxfId="3020">
      <pivotArea collapsedLevelsAreSubtotals="1" fieldPosition="0">
        <references count="2">
          <reference field="4294967294" count="1" selected="0">
            <x v="5"/>
          </reference>
          <reference field="0" count="1">
            <x v="17"/>
          </reference>
        </references>
      </pivotArea>
    </format>
    <format dxfId="3021">
      <pivotArea collapsedLevelsAreSubtotals="1" fieldPosition="0">
        <references count="3">
          <reference field="4294967294" count="1" selected="0">
            <x v="5"/>
          </reference>
          <reference field="0" count="1" selected="0">
            <x v="17"/>
          </reference>
          <reference field="1" count="1">
            <x v="35"/>
          </reference>
        </references>
      </pivotArea>
    </format>
    <format dxfId="3022">
      <pivotArea collapsedLevelsAreSubtotals="1" fieldPosition="0">
        <references count="2">
          <reference field="4294967294" count="1" selected="0">
            <x v="5"/>
          </reference>
          <reference field="0" count="1">
            <x v="18"/>
          </reference>
        </references>
      </pivotArea>
    </format>
    <format dxfId="3023">
      <pivotArea collapsedLevelsAreSubtotals="1" fieldPosition="0">
        <references count="3">
          <reference field="4294967294" count="1" selected="0">
            <x v="5"/>
          </reference>
          <reference field="0" count="1" selected="0">
            <x v="18"/>
          </reference>
          <reference field="1" count="1">
            <x v="36"/>
          </reference>
        </references>
      </pivotArea>
    </format>
    <format dxfId="3024">
      <pivotArea collapsedLevelsAreSubtotals="1" fieldPosition="0">
        <references count="2">
          <reference field="4294967294" count="1" selected="0">
            <x v="5"/>
          </reference>
          <reference field="0" count="1">
            <x v="19"/>
          </reference>
        </references>
      </pivotArea>
    </format>
    <format dxfId="3025">
      <pivotArea collapsedLevelsAreSubtotals="1" fieldPosition="0">
        <references count="3">
          <reference field="4294967294" count="1" selected="0">
            <x v="5"/>
          </reference>
          <reference field="0" count="1" selected="0">
            <x v="19"/>
          </reference>
          <reference field="1" count="1">
            <x v="37"/>
          </reference>
        </references>
      </pivotArea>
    </format>
    <format dxfId="3026">
      <pivotArea collapsedLevelsAreSubtotals="1" fieldPosition="0">
        <references count="2">
          <reference field="4294967294" count="1" selected="0">
            <x v="5"/>
          </reference>
          <reference field="0" count="1">
            <x v="20"/>
          </reference>
        </references>
      </pivotArea>
    </format>
    <format dxfId="3027">
      <pivotArea collapsedLevelsAreSubtotals="1" fieldPosition="0">
        <references count="3">
          <reference field="4294967294" count="1" selected="0">
            <x v="5"/>
          </reference>
          <reference field="0" count="1" selected="0">
            <x v="20"/>
          </reference>
          <reference field="1" count="1">
            <x v="38"/>
          </reference>
        </references>
      </pivotArea>
    </format>
    <format dxfId="3028">
      <pivotArea collapsedLevelsAreSubtotals="1" fieldPosition="0">
        <references count="2">
          <reference field="4294967294" count="1" selected="0">
            <x v="5"/>
          </reference>
          <reference field="0" count="1">
            <x v="21"/>
          </reference>
        </references>
      </pivotArea>
    </format>
    <format dxfId="3029">
      <pivotArea collapsedLevelsAreSubtotals="1" fieldPosition="0">
        <references count="3">
          <reference field="4294967294" count="1" selected="0">
            <x v="5"/>
          </reference>
          <reference field="0" count="1" selected="0">
            <x v="21"/>
          </reference>
          <reference field="1" count="1">
            <x v="39"/>
          </reference>
        </references>
      </pivotArea>
    </format>
    <format dxfId="3030">
      <pivotArea collapsedLevelsAreSubtotals="1" fieldPosition="0">
        <references count="2">
          <reference field="4294967294" count="1" selected="0">
            <x v="5"/>
          </reference>
          <reference field="0" count="1">
            <x v="22"/>
          </reference>
        </references>
      </pivotArea>
    </format>
    <format dxfId="3031">
      <pivotArea collapsedLevelsAreSubtotals="1" fieldPosition="0">
        <references count="3">
          <reference field="4294967294" count="1" selected="0">
            <x v="5"/>
          </reference>
          <reference field="0" count="1" selected="0">
            <x v="22"/>
          </reference>
          <reference field="1" count="1">
            <x v="40"/>
          </reference>
        </references>
      </pivotArea>
    </format>
    <format dxfId="3032">
      <pivotArea collapsedLevelsAreSubtotals="1" fieldPosition="0">
        <references count="2">
          <reference field="4294967294" count="1" selected="0">
            <x v="5"/>
          </reference>
          <reference field="0" count="1">
            <x v="23"/>
          </reference>
        </references>
      </pivotArea>
    </format>
    <format dxfId="3033">
      <pivotArea collapsedLevelsAreSubtotals="1" fieldPosition="0">
        <references count="3">
          <reference field="4294967294" count="1" selected="0">
            <x v="5"/>
          </reference>
          <reference field="0" count="1" selected="0">
            <x v="23"/>
          </reference>
          <reference field="1" count="3">
            <x v="41"/>
            <x v="42"/>
            <x v="43"/>
          </reference>
        </references>
      </pivotArea>
    </format>
    <format dxfId="3034">
      <pivotArea collapsedLevelsAreSubtotals="1" fieldPosition="0">
        <references count="2">
          <reference field="4294967294" count="1" selected="0">
            <x v="5"/>
          </reference>
          <reference field="0" count="1">
            <x v="24"/>
          </reference>
        </references>
      </pivotArea>
    </format>
    <format dxfId="3035">
      <pivotArea collapsedLevelsAreSubtotals="1" fieldPosition="0">
        <references count="3">
          <reference field="4294967294" count="1" selected="0">
            <x v="5"/>
          </reference>
          <reference field="0" count="1" selected="0">
            <x v="24"/>
          </reference>
          <reference field="1" count="3">
            <x v="44"/>
            <x v="45"/>
            <x v="46"/>
          </reference>
        </references>
      </pivotArea>
    </format>
    <format dxfId="3036">
      <pivotArea collapsedLevelsAreSubtotals="1" fieldPosition="0">
        <references count="2">
          <reference field="4294967294" count="1" selected="0">
            <x v="5"/>
          </reference>
          <reference field="0" count="1">
            <x v="25"/>
          </reference>
        </references>
      </pivotArea>
    </format>
    <format dxfId="3037">
      <pivotArea collapsedLevelsAreSubtotals="1" fieldPosition="0">
        <references count="3">
          <reference field="4294967294" count="1" selected="0">
            <x v="5"/>
          </reference>
          <reference field="0" count="1" selected="0">
            <x v="25"/>
          </reference>
          <reference field="1" count="2">
            <x v="47"/>
            <x v="48"/>
          </reference>
        </references>
      </pivotArea>
    </format>
    <format dxfId="3038">
      <pivotArea collapsedLevelsAreSubtotals="1" fieldPosition="0">
        <references count="2">
          <reference field="4294967294" count="1" selected="0">
            <x v="5"/>
          </reference>
          <reference field="0" count="1">
            <x v="26"/>
          </reference>
        </references>
      </pivotArea>
    </format>
    <format dxfId="3039">
      <pivotArea collapsedLevelsAreSubtotals="1" fieldPosition="0">
        <references count="3">
          <reference field="4294967294" count="1" selected="0">
            <x v="5"/>
          </reference>
          <reference field="0" count="1" selected="0">
            <x v="26"/>
          </reference>
          <reference field="1" count="2">
            <x v="49"/>
            <x v="50"/>
          </reference>
        </references>
      </pivotArea>
    </format>
    <format dxfId="3040">
      <pivotArea collapsedLevelsAreSubtotals="1" fieldPosition="0">
        <references count="2">
          <reference field="4294967294" count="1" selected="0">
            <x v="5"/>
          </reference>
          <reference field="0" count="1">
            <x v="27"/>
          </reference>
        </references>
      </pivotArea>
    </format>
    <format dxfId="3041">
      <pivotArea collapsedLevelsAreSubtotals="1" fieldPosition="0">
        <references count="3">
          <reference field="4294967294" count="1" selected="0">
            <x v="5"/>
          </reference>
          <reference field="0" count="1" selected="0">
            <x v="27"/>
          </reference>
          <reference field="1" count="1">
            <x v="51"/>
          </reference>
        </references>
      </pivotArea>
    </format>
    <format dxfId="3042">
      <pivotArea collapsedLevelsAreSubtotals="1" fieldPosition="0">
        <references count="2">
          <reference field="4294967294" count="1" selected="0">
            <x v="5"/>
          </reference>
          <reference field="0" count="1">
            <x v="28"/>
          </reference>
        </references>
      </pivotArea>
    </format>
    <format dxfId="3043">
      <pivotArea collapsedLevelsAreSubtotals="1" fieldPosition="0">
        <references count="3">
          <reference field="4294967294" count="1" selected="0">
            <x v="5"/>
          </reference>
          <reference field="0" count="1" selected="0">
            <x v="28"/>
          </reference>
          <reference field="1" count="1">
            <x v="52"/>
          </reference>
        </references>
      </pivotArea>
    </format>
    <format dxfId="3044">
      <pivotArea collapsedLevelsAreSubtotals="1" fieldPosition="0">
        <references count="2">
          <reference field="4294967294" count="1" selected="0">
            <x v="5"/>
          </reference>
          <reference field="0" count="1">
            <x v="29"/>
          </reference>
        </references>
      </pivotArea>
    </format>
    <format dxfId="3045">
      <pivotArea collapsedLevelsAreSubtotals="1" fieldPosition="0">
        <references count="3">
          <reference field="4294967294" count="1" selected="0">
            <x v="5"/>
          </reference>
          <reference field="0" count="1" selected="0">
            <x v="29"/>
          </reference>
          <reference field="1" count="1">
            <x v="53"/>
          </reference>
        </references>
      </pivotArea>
    </format>
    <format dxfId="3046">
      <pivotArea collapsedLevelsAreSubtotals="1" fieldPosition="0">
        <references count="2">
          <reference field="4294967294" count="1" selected="0">
            <x v="5"/>
          </reference>
          <reference field="0" count="1">
            <x v="30"/>
          </reference>
        </references>
      </pivotArea>
    </format>
    <format dxfId="3047">
      <pivotArea collapsedLevelsAreSubtotals="1" fieldPosition="0">
        <references count="3">
          <reference field="4294967294" count="1" selected="0">
            <x v="5"/>
          </reference>
          <reference field="0" count="1" selected="0">
            <x v="30"/>
          </reference>
          <reference field="1" count="1">
            <x v="54"/>
          </reference>
        </references>
      </pivotArea>
    </format>
    <format dxfId="3048">
      <pivotArea collapsedLevelsAreSubtotals="1" fieldPosition="0">
        <references count="2">
          <reference field="4294967294" count="1" selected="0">
            <x v="5"/>
          </reference>
          <reference field="0" count="1">
            <x v="31"/>
          </reference>
        </references>
      </pivotArea>
    </format>
    <format dxfId="3049">
      <pivotArea collapsedLevelsAreSubtotals="1" fieldPosition="0">
        <references count="3">
          <reference field="4294967294" count="1" selected="0">
            <x v="5"/>
          </reference>
          <reference field="0" count="1" selected="0">
            <x v="31"/>
          </reference>
          <reference field="1" count="1">
            <x v="55"/>
          </reference>
        </references>
      </pivotArea>
    </format>
    <format dxfId="3050">
      <pivotArea collapsedLevelsAreSubtotals="1" fieldPosition="0">
        <references count="2">
          <reference field="4294967294" count="1" selected="0">
            <x v="5"/>
          </reference>
          <reference field="0" count="1">
            <x v="32"/>
          </reference>
        </references>
      </pivotArea>
    </format>
    <format dxfId="3051">
      <pivotArea collapsedLevelsAreSubtotals="1" fieldPosition="0">
        <references count="3">
          <reference field="4294967294" count="1" selected="0">
            <x v="5"/>
          </reference>
          <reference field="0" count="1" selected="0">
            <x v="32"/>
          </reference>
          <reference field="1" count="1">
            <x v="56"/>
          </reference>
        </references>
      </pivotArea>
    </format>
    <format dxfId="3052">
      <pivotArea collapsedLevelsAreSubtotals="1" fieldPosition="0">
        <references count="2">
          <reference field="4294967294" count="1" selected="0">
            <x v="5"/>
          </reference>
          <reference field="0" count="1">
            <x v="33"/>
          </reference>
        </references>
      </pivotArea>
    </format>
    <format dxfId="3053">
      <pivotArea collapsedLevelsAreSubtotals="1" fieldPosition="0">
        <references count="3">
          <reference field="4294967294" count="1" selected="0">
            <x v="5"/>
          </reference>
          <reference field="0" count="1" selected="0">
            <x v="33"/>
          </reference>
          <reference field="1" count="1">
            <x v="57"/>
          </reference>
        </references>
      </pivotArea>
    </format>
    <format dxfId="3054">
      <pivotArea collapsedLevelsAreSubtotals="1" fieldPosition="0">
        <references count="2">
          <reference field="4294967294" count="1" selected="0">
            <x v="5"/>
          </reference>
          <reference field="0" count="1">
            <x v="34"/>
          </reference>
        </references>
      </pivotArea>
    </format>
    <format dxfId="3055">
      <pivotArea collapsedLevelsAreSubtotals="1" fieldPosition="0">
        <references count="3">
          <reference field="4294967294" count="1" selected="0">
            <x v="5"/>
          </reference>
          <reference field="0" count="1" selected="0">
            <x v="34"/>
          </reference>
          <reference field="1" count="1">
            <x v="9"/>
          </reference>
        </references>
      </pivotArea>
    </format>
    <format dxfId="3056">
      <pivotArea collapsedLevelsAreSubtotals="1" fieldPosition="0">
        <references count="2">
          <reference field="4294967294" count="1" selected="0">
            <x v="5"/>
          </reference>
          <reference field="0" count="1">
            <x v="35"/>
          </reference>
        </references>
      </pivotArea>
    </format>
    <format dxfId="3057">
      <pivotArea collapsedLevelsAreSubtotals="1" fieldPosition="0">
        <references count="3">
          <reference field="4294967294" count="1" selected="0">
            <x v="5"/>
          </reference>
          <reference field="0" count="1" selected="0">
            <x v="35"/>
          </reference>
          <reference field="1" count="1">
            <x v="58"/>
          </reference>
        </references>
      </pivotArea>
    </format>
    <format dxfId="3058">
      <pivotArea collapsedLevelsAreSubtotals="1" fieldPosition="0">
        <references count="2">
          <reference field="4294967294" count="1" selected="0">
            <x v="5"/>
          </reference>
          <reference field="0" count="1">
            <x v="36"/>
          </reference>
        </references>
      </pivotArea>
    </format>
    <format dxfId="3059">
      <pivotArea collapsedLevelsAreSubtotals="1" fieldPosition="0">
        <references count="3">
          <reference field="4294967294" count="1" selected="0">
            <x v="5"/>
          </reference>
          <reference field="0" count="1" selected="0">
            <x v="36"/>
          </reference>
          <reference field="1" count="2">
            <x v="59"/>
            <x v="60"/>
          </reference>
        </references>
      </pivotArea>
    </format>
    <format dxfId="3060">
      <pivotArea collapsedLevelsAreSubtotals="1" fieldPosition="0">
        <references count="2">
          <reference field="4294967294" count="1" selected="0">
            <x v="5"/>
          </reference>
          <reference field="0" count="1">
            <x v="37"/>
          </reference>
        </references>
      </pivotArea>
    </format>
    <format dxfId="3061">
      <pivotArea collapsedLevelsAreSubtotals="1" fieldPosition="0">
        <references count="3">
          <reference field="4294967294" count="1" selected="0">
            <x v="5"/>
          </reference>
          <reference field="0" count="1" selected="0">
            <x v="37"/>
          </reference>
          <reference field="1" count="2">
            <x v="0"/>
            <x v="1"/>
          </reference>
        </references>
      </pivotArea>
    </format>
    <format dxfId="3062">
      <pivotArea collapsedLevelsAreSubtotals="1" fieldPosition="0">
        <references count="2">
          <reference field="4294967294" count="1" selected="0">
            <x v="5"/>
          </reference>
          <reference field="0" count="1">
            <x v="38"/>
          </reference>
        </references>
      </pivotArea>
    </format>
    <format dxfId="3063">
      <pivotArea collapsedLevelsAreSubtotals="1" fieldPosition="0">
        <references count="3">
          <reference field="4294967294" count="1" selected="0">
            <x v="5"/>
          </reference>
          <reference field="0" count="1" selected="0">
            <x v="38"/>
          </reference>
          <reference field="1" count="2">
            <x v="61"/>
            <x v="62"/>
          </reference>
        </references>
      </pivotArea>
    </format>
    <format dxfId="3064">
      <pivotArea collapsedLevelsAreSubtotals="1" fieldPosition="0">
        <references count="2">
          <reference field="4294967294" count="1" selected="0">
            <x v="5"/>
          </reference>
          <reference field="0" count="1">
            <x v="39"/>
          </reference>
        </references>
      </pivotArea>
    </format>
    <format dxfId="3065">
      <pivotArea collapsedLevelsAreSubtotals="1" fieldPosition="0">
        <references count="3">
          <reference field="4294967294" count="1" selected="0">
            <x v="5"/>
          </reference>
          <reference field="0" count="1" selected="0">
            <x v="39"/>
          </reference>
          <reference field="1" count="1">
            <x v="10"/>
          </reference>
        </references>
      </pivotArea>
    </format>
    <format dxfId="3066">
      <pivotArea collapsedLevelsAreSubtotals="1" fieldPosition="0">
        <references count="2">
          <reference field="4294967294" count="1" selected="0">
            <x v="5"/>
          </reference>
          <reference field="0" count="1">
            <x v="40"/>
          </reference>
        </references>
      </pivotArea>
    </format>
    <format dxfId="3067">
      <pivotArea collapsedLevelsAreSubtotals="1" fieldPosition="0">
        <references count="3">
          <reference field="4294967294" count="1" selected="0">
            <x v="5"/>
          </reference>
          <reference field="0" count="1" selected="0">
            <x v="40"/>
          </reference>
          <reference field="1" count="1">
            <x v="63"/>
          </reference>
        </references>
      </pivotArea>
    </format>
    <format dxfId="3068">
      <pivotArea collapsedLevelsAreSubtotals="1" fieldPosition="0">
        <references count="2">
          <reference field="4294967294" count="1" selected="0">
            <x v="5"/>
          </reference>
          <reference field="0" count="1">
            <x v="41"/>
          </reference>
        </references>
      </pivotArea>
    </format>
    <format dxfId="3069">
      <pivotArea collapsedLevelsAreSubtotals="1" fieldPosition="0">
        <references count="3">
          <reference field="4294967294" count="1" selected="0">
            <x v="5"/>
          </reference>
          <reference field="0" count="1" selected="0">
            <x v="41"/>
          </reference>
          <reference field="1" count="1">
            <x v="64"/>
          </reference>
        </references>
      </pivotArea>
    </format>
    <format dxfId="3070">
      <pivotArea collapsedLevelsAreSubtotals="1" fieldPosition="0">
        <references count="2">
          <reference field="4294967294" count="1" selected="0">
            <x v="5"/>
          </reference>
          <reference field="0" count="1">
            <x v="42"/>
          </reference>
        </references>
      </pivotArea>
    </format>
    <format dxfId="3071">
      <pivotArea collapsedLevelsAreSubtotals="1" fieldPosition="0">
        <references count="3">
          <reference field="4294967294" count="1" selected="0">
            <x v="5"/>
          </reference>
          <reference field="0" count="1" selected="0">
            <x v="42"/>
          </reference>
          <reference field="1" count="1">
            <x v="4"/>
          </reference>
        </references>
      </pivotArea>
    </format>
    <format dxfId="3072">
      <pivotArea collapsedLevelsAreSubtotals="1" fieldPosition="0">
        <references count="2">
          <reference field="4294967294" count="1" selected="0">
            <x v="5"/>
          </reference>
          <reference field="0" count="1">
            <x v="43"/>
          </reference>
        </references>
      </pivotArea>
    </format>
    <format dxfId="3073">
      <pivotArea collapsedLevelsAreSubtotals="1" fieldPosition="0">
        <references count="3">
          <reference field="4294967294" count="1" selected="0">
            <x v="5"/>
          </reference>
          <reference field="0" count="1" selected="0">
            <x v="43"/>
          </reference>
          <reference field="1" count="2">
            <x v="65"/>
            <x v="66"/>
          </reference>
        </references>
      </pivotArea>
    </format>
    <format dxfId="3074">
      <pivotArea collapsedLevelsAreSubtotals="1" fieldPosition="0">
        <references count="2">
          <reference field="4294967294" count="1" selected="0">
            <x v="5"/>
          </reference>
          <reference field="0" count="1">
            <x v="44"/>
          </reference>
        </references>
      </pivotArea>
    </format>
    <format dxfId="3075">
      <pivotArea collapsedLevelsAreSubtotals="1" fieldPosition="0">
        <references count="3">
          <reference field="4294967294" count="1" selected="0">
            <x v="5"/>
          </reference>
          <reference field="0" count="1" selected="0">
            <x v="44"/>
          </reference>
          <reference field="1" count="1">
            <x v="67"/>
          </reference>
        </references>
      </pivotArea>
    </format>
    <format dxfId="3076">
      <pivotArea collapsedLevelsAreSubtotals="1" fieldPosition="0">
        <references count="2">
          <reference field="4294967294" count="1" selected="0">
            <x v="5"/>
          </reference>
          <reference field="0" count="1">
            <x v="45"/>
          </reference>
        </references>
      </pivotArea>
    </format>
    <format dxfId="3077">
      <pivotArea collapsedLevelsAreSubtotals="1" fieldPosition="0">
        <references count="3">
          <reference field="4294967294" count="1" selected="0">
            <x v="5"/>
          </reference>
          <reference field="0" count="1" selected="0">
            <x v="45"/>
          </reference>
          <reference field="1" count="1">
            <x v="68"/>
          </reference>
        </references>
      </pivotArea>
    </format>
    <format dxfId="3078">
      <pivotArea collapsedLevelsAreSubtotals="1" fieldPosition="0">
        <references count="2">
          <reference field="4294967294" count="1" selected="0">
            <x v="5"/>
          </reference>
          <reference field="0" count="1">
            <x v="46"/>
          </reference>
        </references>
      </pivotArea>
    </format>
    <format dxfId="3079">
      <pivotArea collapsedLevelsAreSubtotals="1" fieldPosition="0">
        <references count="3">
          <reference field="4294967294" count="1" selected="0">
            <x v="5"/>
          </reference>
          <reference field="0" count="1" selected="0">
            <x v="46"/>
          </reference>
          <reference field="1" count="1">
            <x v="69"/>
          </reference>
        </references>
      </pivotArea>
    </format>
    <format dxfId="3080">
      <pivotArea collapsedLevelsAreSubtotals="1" fieldPosition="0">
        <references count="2">
          <reference field="4294967294" count="1" selected="0">
            <x v="5"/>
          </reference>
          <reference field="0" count="1">
            <x v="47"/>
          </reference>
        </references>
      </pivotArea>
    </format>
    <format dxfId="3081">
      <pivotArea collapsedLevelsAreSubtotals="1" fieldPosition="0">
        <references count="3">
          <reference field="4294967294" count="1" selected="0">
            <x v="5"/>
          </reference>
          <reference field="0" count="1" selected="0">
            <x v="47"/>
          </reference>
          <reference field="1" count="1">
            <x v="70"/>
          </reference>
        </references>
      </pivotArea>
    </format>
    <format dxfId="3082">
      <pivotArea collapsedLevelsAreSubtotals="1" fieldPosition="0">
        <references count="2">
          <reference field="4294967294" count="1" selected="0">
            <x v="5"/>
          </reference>
          <reference field="0" count="1">
            <x v="48"/>
          </reference>
        </references>
      </pivotArea>
    </format>
    <format dxfId="3083">
      <pivotArea collapsedLevelsAreSubtotals="1" fieldPosition="0">
        <references count="3">
          <reference field="4294967294" count="1" selected="0">
            <x v="5"/>
          </reference>
          <reference field="0" count="1" selected="0">
            <x v="48"/>
          </reference>
          <reference field="1" count="1">
            <x v="71"/>
          </reference>
        </references>
      </pivotArea>
    </format>
    <format dxfId="3084">
      <pivotArea collapsedLevelsAreSubtotals="1" fieldPosition="0">
        <references count="2">
          <reference field="4294967294" count="1" selected="0">
            <x v="5"/>
          </reference>
          <reference field="0" count="1">
            <x v="49"/>
          </reference>
        </references>
      </pivotArea>
    </format>
    <format dxfId="3085">
      <pivotArea collapsedLevelsAreSubtotals="1" fieldPosition="0">
        <references count="3">
          <reference field="4294967294" count="1" selected="0">
            <x v="5"/>
          </reference>
          <reference field="0" count="1" selected="0">
            <x v="49"/>
          </reference>
          <reference field="1" count="1">
            <x v="72"/>
          </reference>
        </references>
      </pivotArea>
    </format>
    <format dxfId="3086">
      <pivotArea collapsedLevelsAreSubtotals="1" fieldPosition="0">
        <references count="2">
          <reference field="4294967294" count="1" selected="0">
            <x v="5"/>
          </reference>
          <reference field="0" count="1">
            <x v="50"/>
          </reference>
        </references>
      </pivotArea>
    </format>
    <format dxfId="3087">
      <pivotArea collapsedLevelsAreSubtotals="1" fieldPosition="0">
        <references count="3">
          <reference field="4294967294" count="1" selected="0">
            <x v="5"/>
          </reference>
          <reference field="0" count="1" selected="0">
            <x v="50"/>
          </reference>
          <reference field="1" count="1">
            <x v="73"/>
          </reference>
        </references>
      </pivotArea>
    </format>
    <format dxfId="3088">
      <pivotArea collapsedLevelsAreSubtotals="1" fieldPosition="0">
        <references count="2">
          <reference field="4294967294" count="1" selected="0">
            <x v="5"/>
          </reference>
          <reference field="0" count="1">
            <x v="51"/>
          </reference>
        </references>
      </pivotArea>
    </format>
    <format dxfId="3089">
      <pivotArea collapsedLevelsAreSubtotals="1" fieldPosition="0">
        <references count="3">
          <reference field="4294967294" count="1" selected="0">
            <x v="5"/>
          </reference>
          <reference field="0" count="1" selected="0">
            <x v="51"/>
          </reference>
          <reference field="1" count="1">
            <x v="74"/>
          </reference>
        </references>
      </pivotArea>
    </format>
    <format dxfId="3090">
      <pivotArea collapsedLevelsAreSubtotals="1" fieldPosition="0">
        <references count="2">
          <reference field="4294967294" count="1" selected="0">
            <x v="5"/>
          </reference>
          <reference field="0" count="1">
            <x v="52"/>
          </reference>
        </references>
      </pivotArea>
    </format>
    <format dxfId="3091">
      <pivotArea collapsedLevelsAreSubtotals="1" fieldPosition="0">
        <references count="3">
          <reference field="4294967294" count="1" selected="0">
            <x v="5"/>
          </reference>
          <reference field="0" count="1" selected="0">
            <x v="52"/>
          </reference>
          <reference field="1" count="1">
            <x v="75"/>
          </reference>
        </references>
      </pivotArea>
    </format>
    <format dxfId="3092">
      <pivotArea collapsedLevelsAreSubtotals="1" fieldPosition="0">
        <references count="2">
          <reference field="4294967294" count="1" selected="0">
            <x v="5"/>
          </reference>
          <reference field="0" count="1">
            <x v="53"/>
          </reference>
        </references>
      </pivotArea>
    </format>
    <format dxfId="3093">
      <pivotArea collapsedLevelsAreSubtotals="1" fieldPosition="0">
        <references count="3">
          <reference field="4294967294" count="1" selected="0">
            <x v="5"/>
          </reference>
          <reference field="0" count="1" selected="0">
            <x v="53"/>
          </reference>
          <reference field="1" count="1">
            <x v="76"/>
          </reference>
        </references>
      </pivotArea>
    </format>
    <format dxfId="3094">
      <pivotArea collapsedLevelsAreSubtotals="1" fieldPosition="0">
        <references count="2">
          <reference field="4294967294" count="1" selected="0">
            <x v="5"/>
          </reference>
          <reference field="0" count="1">
            <x v="54"/>
          </reference>
        </references>
      </pivotArea>
    </format>
    <format dxfId="3095">
      <pivotArea collapsedLevelsAreSubtotals="1" fieldPosition="0">
        <references count="3">
          <reference field="4294967294" count="1" selected="0">
            <x v="5"/>
          </reference>
          <reference field="0" count="1" selected="0">
            <x v="54"/>
          </reference>
          <reference field="1" count="1">
            <x v="77"/>
          </reference>
        </references>
      </pivotArea>
    </format>
    <format dxfId="3096">
      <pivotArea collapsedLevelsAreSubtotals="1" fieldPosition="0">
        <references count="2">
          <reference field="4294967294" count="1" selected="0">
            <x v="5"/>
          </reference>
          <reference field="0" count="1">
            <x v="55"/>
          </reference>
        </references>
      </pivotArea>
    </format>
    <format dxfId="3097">
      <pivotArea collapsedLevelsAreSubtotals="1" fieldPosition="0">
        <references count="3">
          <reference field="4294967294" count="1" selected="0">
            <x v="5"/>
          </reference>
          <reference field="0" count="1" selected="0">
            <x v="55"/>
          </reference>
          <reference field="1" count="1">
            <x v="8"/>
          </reference>
        </references>
      </pivotArea>
    </format>
    <format dxfId="3098">
      <pivotArea collapsedLevelsAreSubtotals="1" fieldPosition="0">
        <references count="2">
          <reference field="4294967294" count="1" selected="0">
            <x v="5"/>
          </reference>
          <reference field="0" count="1">
            <x v="56"/>
          </reference>
        </references>
      </pivotArea>
    </format>
    <format dxfId="3099">
      <pivotArea collapsedLevelsAreSubtotals="1" fieldPosition="0">
        <references count="3">
          <reference field="4294967294" count="1" selected="0">
            <x v="5"/>
          </reference>
          <reference field="0" count="1" selected="0">
            <x v="56"/>
          </reference>
          <reference field="1" count="1">
            <x v="78"/>
          </reference>
        </references>
      </pivotArea>
    </format>
    <format dxfId="3100">
      <pivotArea collapsedLevelsAreSubtotals="1" fieldPosition="0">
        <references count="2">
          <reference field="4294967294" count="1" selected="0">
            <x v="5"/>
          </reference>
          <reference field="0" count="1">
            <x v="57"/>
          </reference>
        </references>
      </pivotArea>
    </format>
    <format dxfId="3101">
      <pivotArea collapsedLevelsAreSubtotals="1" fieldPosition="0">
        <references count="3">
          <reference field="4294967294" count="1" selected="0">
            <x v="5"/>
          </reference>
          <reference field="0" count="1" selected="0">
            <x v="57"/>
          </reference>
          <reference field="1" count="1">
            <x v="79"/>
          </reference>
        </references>
      </pivotArea>
    </format>
    <format dxfId="3102">
      <pivotArea collapsedLevelsAreSubtotals="1" fieldPosition="0">
        <references count="2">
          <reference field="4294967294" count="1" selected="0">
            <x v="5"/>
          </reference>
          <reference field="0" count="1">
            <x v="58"/>
          </reference>
        </references>
      </pivotArea>
    </format>
    <format dxfId="3103">
      <pivotArea collapsedLevelsAreSubtotals="1" fieldPosition="0">
        <references count="3">
          <reference field="4294967294" count="1" selected="0">
            <x v="5"/>
          </reference>
          <reference field="0" count="1" selected="0">
            <x v="58"/>
          </reference>
          <reference field="1" count="2">
            <x v="80"/>
            <x v="81"/>
          </reference>
        </references>
      </pivotArea>
    </format>
    <format dxfId="3104">
      <pivotArea collapsedLevelsAreSubtotals="1" fieldPosition="0">
        <references count="2">
          <reference field="4294967294" count="1" selected="0">
            <x v="5"/>
          </reference>
          <reference field="0" count="1">
            <x v="59"/>
          </reference>
        </references>
      </pivotArea>
    </format>
    <format dxfId="3105">
      <pivotArea collapsedLevelsAreSubtotals="1" fieldPosition="0">
        <references count="3">
          <reference field="4294967294" count="1" selected="0">
            <x v="5"/>
          </reference>
          <reference field="0" count="1" selected="0">
            <x v="59"/>
          </reference>
          <reference field="1" count="1">
            <x v="82"/>
          </reference>
        </references>
      </pivotArea>
    </format>
    <format dxfId="3106">
      <pivotArea collapsedLevelsAreSubtotals="1" fieldPosition="0">
        <references count="2">
          <reference field="4294967294" count="1" selected="0">
            <x v="5"/>
          </reference>
          <reference field="0" count="1">
            <x v="60"/>
          </reference>
        </references>
      </pivotArea>
    </format>
    <format dxfId="3107">
      <pivotArea collapsedLevelsAreSubtotals="1" fieldPosition="0">
        <references count="3">
          <reference field="4294967294" count="1" selected="0">
            <x v="5"/>
          </reference>
          <reference field="0" count="1" selected="0">
            <x v="60"/>
          </reference>
          <reference field="1" count="1">
            <x v="83"/>
          </reference>
        </references>
      </pivotArea>
    </format>
    <format dxfId="3108">
      <pivotArea collapsedLevelsAreSubtotals="1" fieldPosition="0">
        <references count="2">
          <reference field="4294967294" count="1" selected="0">
            <x v="5"/>
          </reference>
          <reference field="0" count="1">
            <x v="61"/>
          </reference>
        </references>
      </pivotArea>
    </format>
    <format dxfId="3109">
      <pivotArea collapsedLevelsAreSubtotals="1" fieldPosition="0">
        <references count="3">
          <reference field="4294967294" count="1" selected="0">
            <x v="5"/>
          </reference>
          <reference field="0" count="1" selected="0">
            <x v="61"/>
          </reference>
          <reference field="1" count="3">
            <x v="5"/>
            <x v="6"/>
            <x v="7"/>
          </reference>
        </references>
      </pivotArea>
    </format>
    <format dxfId="3110">
      <pivotArea collapsedLevelsAreSubtotals="1" fieldPosition="0">
        <references count="2">
          <reference field="4294967294" count="1" selected="0">
            <x v="5"/>
          </reference>
          <reference field="0" count="1">
            <x v="62"/>
          </reference>
        </references>
      </pivotArea>
    </format>
    <format dxfId="3111">
      <pivotArea collapsedLevelsAreSubtotals="1" fieldPosition="0">
        <references count="3">
          <reference field="4294967294" count="1" selected="0">
            <x v="5"/>
          </reference>
          <reference field="0" count="1" selected="0">
            <x v="62"/>
          </reference>
          <reference field="1" count="2">
            <x v="84"/>
            <x v="85"/>
          </reference>
        </references>
      </pivotArea>
    </format>
    <format dxfId="3112">
      <pivotArea collapsedLevelsAreSubtotals="1" fieldPosition="0">
        <references count="2">
          <reference field="4294967294" count="1" selected="0">
            <x v="5"/>
          </reference>
          <reference field="0" count="1">
            <x v="63"/>
          </reference>
        </references>
      </pivotArea>
    </format>
    <format dxfId="3113">
      <pivotArea collapsedLevelsAreSubtotals="1" fieldPosition="0">
        <references count="3">
          <reference field="4294967294" count="1" selected="0">
            <x v="5"/>
          </reference>
          <reference field="0" count="1" selected="0">
            <x v="63"/>
          </reference>
          <reference field="1" count="1">
            <x v="2"/>
          </reference>
        </references>
      </pivotArea>
    </format>
    <format dxfId="3114">
      <pivotArea collapsedLevelsAreSubtotals="1" fieldPosition="0">
        <references count="2">
          <reference field="4294967294" count="1" selected="0">
            <x v="5"/>
          </reference>
          <reference field="0" count="1">
            <x v="64"/>
          </reference>
        </references>
      </pivotArea>
    </format>
    <format dxfId="3115">
      <pivotArea collapsedLevelsAreSubtotals="1" fieldPosition="0">
        <references count="3">
          <reference field="4294967294" count="1" selected="0">
            <x v="5"/>
          </reference>
          <reference field="0" count="1" selected="0">
            <x v="64"/>
          </reference>
          <reference field="1" count="1">
            <x v="86"/>
          </reference>
        </references>
      </pivotArea>
    </format>
    <format dxfId="3116">
      <pivotArea collapsedLevelsAreSubtotals="1" fieldPosition="0">
        <references count="2">
          <reference field="4294967294" count="1" selected="0">
            <x v="5"/>
          </reference>
          <reference field="0" count="1">
            <x v="65"/>
          </reference>
        </references>
      </pivotArea>
    </format>
    <format dxfId="3117">
      <pivotArea collapsedLevelsAreSubtotals="1" fieldPosition="0">
        <references count="3">
          <reference field="4294967294" count="1" selected="0">
            <x v="5"/>
          </reference>
          <reference field="0" count="1" selected="0">
            <x v="65"/>
          </reference>
          <reference field="1" count="1">
            <x v="87"/>
          </reference>
        </references>
      </pivotArea>
    </format>
    <format dxfId="3118">
      <pivotArea collapsedLevelsAreSubtotals="1" fieldPosition="0">
        <references count="2">
          <reference field="4294967294" count="1" selected="0">
            <x v="5"/>
          </reference>
          <reference field="0" count="1">
            <x v="66"/>
          </reference>
        </references>
      </pivotArea>
    </format>
    <format dxfId="3119">
      <pivotArea collapsedLevelsAreSubtotals="1" fieldPosition="0">
        <references count="3">
          <reference field="4294967294" count="1" selected="0">
            <x v="5"/>
          </reference>
          <reference field="0" count="1" selected="0">
            <x v="66"/>
          </reference>
          <reference field="1" count="1">
            <x v="88"/>
          </reference>
        </references>
      </pivotArea>
    </format>
    <format dxfId="3120">
      <pivotArea collapsedLevelsAreSubtotals="1" fieldPosition="0">
        <references count="2">
          <reference field="4294967294" count="1" selected="0">
            <x v="5"/>
          </reference>
          <reference field="0" count="1">
            <x v="67"/>
          </reference>
        </references>
      </pivotArea>
    </format>
    <format dxfId="3121">
      <pivotArea collapsedLevelsAreSubtotals="1" fieldPosition="0">
        <references count="3">
          <reference field="4294967294" count="1" selected="0">
            <x v="5"/>
          </reference>
          <reference field="0" count="1" selected="0">
            <x v="67"/>
          </reference>
          <reference field="1" count="1">
            <x v="89"/>
          </reference>
        </references>
      </pivotArea>
    </format>
    <format dxfId="3122">
      <pivotArea collapsedLevelsAreSubtotals="1" fieldPosition="0">
        <references count="2">
          <reference field="4294967294" count="1" selected="0">
            <x v="5"/>
          </reference>
          <reference field="0" count="1">
            <x v="68"/>
          </reference>
        </references>
      </pivotArea>
    </format>
    <format dxfId="3123">
      <pivotArea collapsedLevelsAreSubtotals="1" fieldPosition="0">
        <references count="3">
          <reference field="4294967294" count="1" selected="0">
            <x v="5"/>
          </reference>
          <reference field="0" count="1" selected="0">
            <x v="68"/>
          </reference>
          <reference field="1" count="2">
            <x v="90"/>
            <x v="91"/>
          </reference>
        </references>
      </pivotArea>
    </format>
    <format dxfId="3124">
      <pivotArea collapsedLevelsAreSubtotals="1" fieldPosition="0">
        <references count="2">
          <reference field="4294967294" count="1" selected="0">
            <x v="5"/>
          </reference>
          <reference field="0" count="1">
            <x v="69"/>
          </reference>
        </references>
      </pivotArea>
    </format>
    <format dxfId="3125">
      <pivotArea collapsedLevelsAreSubtotals="1" fieldPosition="0">
        <references count="3">
          <reference field="4294967294" count="1" selected="0">
            <x v="5"/>
          </reference>
          <reference field="0" count="1" selected="0">
            <x v="69"/>
          </reference>
          <reference field="1" count="1">
            <x v="11"/>
          </reference>
        </references>
      </pivotArea>
    </format>
    <format dxfId="3126">
      <pivotArea collapsedLevelsAreSubtotals="1" fieldPosition="0">
        <references count="2">
          <reference field="4294967294" count="1" selected="0">
            <x v="5"/>
          </reference>
          <reference field="0" count="1">
            <x v="70"/>
          </reference>
        </references>
      </pivotArea>
    </format>
    <format dxfId="3127">
      <pivotArea collapsedLevelsAreSubtotals="1" fieldPosition="0">
        <references count="3">
          <reference field="4294967294" count="1" selected="0">
            <x v="5"/>
          </reference>
          <reference field="0" count="1" selected="0">
            <x v="70"/>
          </reference>
          <reference field="1" count="2">
            <x v="92"/>
            <x v="93"/>
          </reference>
        </references>
      </pivotArea>
    </format>
    <format dxfId="3128">
      <pivotArea collapsedLevelsAreSubtotals="1" fieldPosition="0">
        <references count="2">
          <reference field="4294967294" count="1" selected="0">
            <x v="5"/>
          </reference>
          <reference field="0" count="1">
            <x v="71"/>
          </reference>
        </references>
      </pivotArea>
    </format>
    <format dxfId="3129">
      <pivotArea collapsedLevelsAreSubtotals="1" fieldPosition="0">
        <references count="3">
          <reference field="4294967294" count="1" selected="0">
            <x v="5"/>
          </reference>
          <reference field="0" count="1" selected="0">
            <x v="71"/>
          </reference>
          <reference field="1" count="1">
            <x v="94"/>
          </reference>
        </references>
      </pivotArea>
    </format>
    <format dxfId="3130">
      <pivotArea collapsedLevelsAreSubtotals="1" fieldPosition="0">
        <references count="2">
          <reference field="4294967294" count="1" selected="0">
            <x v="5"/>
          </reference>
          <reference field="0" count="1">
            <x v="72"/>
          </reference>
        </references>
      </pivotArea>
    </format>
    <format dxfId="3131">
      <pivotArea collapsedLevelsAreSubtotals="1" fieldPosition="0">
        <references count="3">
          <reference field="4294967294" count="1" selected="0">
            <x v="5"/>
          </reference>
          <reference field="0" count="1" selected="0">
            <x v="72"/>
          </reference>
          <reference field="1" count="1">
            <x v="95"/>
          </reference>
        </references>
      </pivotArea>
    </format>
    <format dxfId="3132">
      <pivotArea collapsedLevelsAreSubtotals="1" fieldPosition="0">
        <references count="2">
          <reference field="4294967294" count="1" selected="0">
            <x v="5"/>
          </reference>
          <reference field="0" count="1">
            <x v="73"/>
          </reference>
        </references>
      </pivotArea>
    </format>
    <format dxfId="3133">
      <pivotArea collapsedLevelsAreSubtotals="1" fieldPosition="0">
        <references count="3">
          <reference field="4294967294" count="1" selected="0">
            <x v="5"/>
          </reference>
          <reference field="0" count="1" selected="0">
            <x v="73"/>
          </reference>
          <reference field="1" count="2">
            <x v="96"/>
            <x v="97"/>
          </reference>
        </references>
      </pivotArea>
    </format>
    <format dxfId="3134">
      <pivotArea collapsedLevelsAreSubtotals="1" fieldPosition="0">
        <references count="2">
          <reference field="4294967294" count="1" selected="0">
            <x v="5"/>
          </reference>
          <reference field="0" count="1">
            <x v="74"/>
          </reference>
        </references>
      </pivotArea>
    </format>
    <format dxfId="3135">
      <pivotArea collapsedLevelsAreSubtotals="1" fieldPosition="0">
        <references count="3">
          <reference field="4294967294" count="1" selected="0">
            <x v="5"/>
          </reference>
          <reference field="0" count="1" selected="0">
            <x v="74"/>
          </reference>
          <reference field="1" count="1">
            <x v="98"/>
          </reference>
        </references>
      </pivotArea>
    </format>
    <format dxfId="3136">
      <pivotArea collapsedLevelsAreSubtotals="1" fieldPosition="0">
        <references count="2">
          <reference field="4294967294" count="1" selected="0">
            <x v="5"/>
          </reference>
          <reference field="0" count="1">
            <x v="75"/>
          </reference>
        </references>
      </pivotArea>
    </format>
    <format dxfId="3137">
      <pivotArea collapsedLevelsAreSubtotals="1" fieldPosition="0">
        <references count="3">
          <reference field="4294967294" count="1" selected="0">
            <x v="5"/>
          </reference>
          <reference field="0" count="1" selected="0">
            <x v="75"/>
          </reference>
          <reference field="1" count="1">
            <x v="3"/>
          </reference>
        </references>
      </pivotArea>
    </format>
    <format dxfId="3138">
      <pivotArea collapsedLevelsAreSubtotals="1" fieldPosition="0">
        <references count="2">
          <reference field="4294967294" count="1" selected="0">
            <x v="5"/>
          </reference>
          <reference field="0" count="1">
            <x v="76"/>
          </reference>
        </references>
      </pivotArea>
    </format>
    <format dxfId="3139">
      <pivotArea collapsedLevelsAreSubtotals="1" fieldPosition="0">
        <references count="3">
          <reference field="4294967294" count="1" selected="0">
            <x v="5"/>
          </reference>
          <reference field="0" count="1" selected="0">
            <x v="76"/>
          </reference>
          <reference field="1" count="1">
            <x v="99"/>
          </reference>
        </references>
      </pivotArea>
    </format>
    <format dxfId="3140">
      <pivotArea collapsedLevelsAreSubtotals="1" fieldPosition="0">
        <references count="2">
          <reference field="4294967294" count="1" selected="0">
            <x v="5"/>
          </reference>
          <reference field="0" count="1">
            <x v="77"/>
          </reference>
        </references>
      </pivotArea>
    </format>
    <format dxfId="3141">
      <pivotArea collapsedLevelsAreSubtotals="1" fieldPosition="0">
        <references count="3">
          <reference field="4294967294" count="1" selected="0">
            <x v="5"/>
          </reference>
          <reference field="0" count="1" selected="0">
            <x v="77"/>
          </reference>
          <reference field="1" count="2">
            <x v="100"/>
            <x v="101"/>
          </reference>
        </references>
      </pivotArea>
    </format>
    <format dxfId="3142">
      <pivotArea collapsedLevelsAreSubtotals="1" fieldPosition="0">
        <references count="2">
          <reference field="4294967294" count="1" selected="0">
            <x v="5"/>
          </reference>
          <reference field="0" count="1">
            <x v="78"/>
          </reference>
        </references>
      </pivotArea>
    </format>
    <format dxfId="3143">
      <pivotArea collapsedLevelsAreSubtotals="1" fieldPosition="0">
        <references count="3">
          <reference field="4294967294" count="1" selected="0">
            <x v="5"/>
          </reference>
          <reference field="0" count="1" selected="0">
            <x v="78"/>
          </reference>
          <reference field="1" count="1">
            <x v="102"/>
          </reference>
        </references>
      </pivotArea>
    </format>
    <format dxfId="3144">
      <pivotArea collapsedLevelsAreSubtotals="1" fieldPosition="0">
        <references count="2">
          <reference field="4294967294" count="1" selected="0">
            <x v="5"/>
          </reference>
          <reference field="0" count="1">
            <x v="79"/>
          </reference>
        </references>
      </pivotArea>
    </format>
    <format dxfId="3145">
      <pivotArea collapsedLevelsAreSubtotals="1" fieldPosition="0">
        <references count="3">
          <reference field="4294967294" count="1" selected="0">
            <x v="5"/>
          </reference>
          <reference field="0" count="1" selected="0">
            <x v="79"/>
          </reference>
          <reference field="1" count="1">
            <x v="103"/>
          </reference>
        </references>
      </pivotArea>
    </format>
    <format dxfId="3146">
      <pivotArea collapsedLevelsAreSubtotals="1" fieldPosition="0">
        <references count="2">
          <reference field="4294967294" count="1" selected="0">
            <x v="5"/>
          </reference>
          <reference field="0" count="1">
            <x v="80"/>
          </reference>
        </references>
      </pivotArea>
    </format>
    <format dxfId="3147">
      <pivotArea collapsedLevelsAreSubtotals="1" fieldPosition="0">
        <references count="3">
          <reference field="4294967294" count="1" selected="0">
            <x v="5"/>
          </reference>
          <reference field="0" count="1" selected="0">
            <x v="80"/>
          </reference>
          <reference field="1" count="1">
            <x v="104"/>
          </reference>
        </references>
      </pivotArea>
    </format>
    <format dxfId="3148">
      <pivotArea dataOnly="0" labelOnly="1" outline="0" fieldPosition="0">
        <references count="1">
          <reference field="4294967294" count="1">
            <x v="5"/>
          </reference>
        </references>
      </pivotArea>
    </format>
    <format dxfId="3149">
      <pivotArea dataOnly="0" labelOnly="1" fieldPosition="0">
        <references count="1">
          <reference field="1" count="0"/>
        </references>
      </pivotArea>
    </format>
    <format dxfId="3150">
      <pivotArea field="0" grandRow="1" outline="0" collapsedLevelsAreSubtotals="1" axis="axisRow" fieldPosition="0">
        <references count="1">
          <reference field="4294967294" count="1" selected="0">
            <x v="1"/>
          </reference>
        </references>
      </pivotArea>
    </format>
    <format dxfId="3151">
      <pivotArea collapsedLevelsAreSubtotals="1" fieldPosition="0">
        <references count="2">
          <reference field="4294967294" count="1" selected="0">
            <x v="1"/>
          </reference>
          <reference field="0" count="1">
            <x v="0"/>
          </reference>
        </references>
      </pivotArea>
    </format>
    <format dxfId="3152">
      <pivotArea collapsedLevelsAreSubtotals="1" fieldPosition="0">
        <references count="3">
          <reference field="4294967294" count="1" selected="0">
            <x v="1"/>
          </reference>
          <reference field="0" count="1" selected="0">
            <x v="0"/>
          </reference>
          <reference field="1" count="4">
            <x v="12"/>
            <x v="13"/>
            <x v="14"/>
            <x v="15"/>
          </reference>
        </references>
      </pivotArea>
    </format>
    <format dxfId="3153">
      <pivotArea collapsedLevelsAreSubtotals="1" fieldPosition="0">
        <references count="2">
          <reference field="4294967294" count="1" selected="0">
            <x v="1"/>
          </reference>
          <reference field="0" count="1">
            <x v="1"/>
          </reference>
        </references>
      </pivotArea>
    </format>
    <format dxfId="3154">
      <pivotArea collapsedLevelsAreSubtotals="1" fieldPosition="0">
        <references count="3">
          <reference field="4294967294" count="1" selected="0">
            <x v="1"/>
          </reference>
          <reference field="0" count="1" selected="0">
            <x v="1"/>
          </reference>
          <reference field="1" count="2">
            <x v="16"/>
            <x v="17"/>
          </reference>
        </references>
      </pivotArea>
    </format>
    <format dxfId="3155">
      <pivotArea collapsedLevelsAreSubtotals="1" fieldPosition="0">
        <references count="2">
          <reference field="4294967294" count="1" selected="0">
            <x v="1"/>
          </reference>
          <reference field="0" count="1">
            <x v="2"/>
          </reference>
        </references>
      </pivotArea>
    </format>
    <format dxfId="3156">
      <pivotArea collapsedLevelsAreSubtotals="1" fieldPosition="0">
        <references count="3">
          <reference field="4294967294" count="1" selected="0">
            <x v="1"/>
          </reference>
          <reference field="0" count="1" selected="0">
            <x v="2"/>
          </reference>
          <reference field="1" count="1">
            <x v="18"/>
          </reference>
        </references>
      </pivotArea>
    </format>
    <format dxfId="3157">
      <pivotArea collapsedLevelsAreSubtotals="1" fieldPosition="0">
        <references count="2">
          <reference field="4294967294" count="1" selected="0">
            <x v="1"/>
          </reference>
          <reference field="0" count="1">
            <x v="3"/>
          </reference>
        </references>
      </pivotArea>
    </format>
    <format dxfId="3158">
      <pivotArea collapsedLevelsAreSubtotals="1" fieldPosition="0">
        <references count="3">
          <reference field="4294967294" count="1" selected="0">
            <x v="1"/>
          </reference>
          <reference field="0" count="1" selected="0">
            <x v="3"/>
          </reference>
          <reference field="1" count="1">
            <x v="19"/>
          </reference>
        </references>
      </pivotArea>
    </format>
    <format dxfId="3159">
      <pivotArea collapsedLevelsAreSubtotals="1" fieldPosition="0">
        <references count="2">
          <reference field="4294967294" count="1" selected="0">
            <x v="1"/>
          </reference>
          <reference field="0" count="1">
            <x v="4"/>
          </reference>
        </references>
      </pivotArea>
    </format>
    <format dxfId="3160">
      <pivotArea collapsedLevelsAreSubtotals="1" fieldPosition="0">
        <references count="3">
          <reference field="4294967294" count="1" selected="0">
            <x v="1"/>
          </reference>
          <reference field="0" count="1" selected="0">
            <x v="4"/>
          </reference>
          <reference field="1" count="1">
            <x v="20"/>
          </reference>
        </references>
      </pivotArea>
    </format>
    <format dxfId="3161">
      <pivotArea collapsedLevelsAreSubtotals="1" fieldPosition="0">
        <references count="2">
          <reference field="4294967294" count="1" selected="0">
            <x v="1"/>
          </reference>
          <reference field="0" count="1">
            <x v="5"/>
          </reference>
        </references>
      </pivotArea>
    </format>
    <format dxfId="3162">
      <pivotArea collapsedLevelsAreSubtotals="1" fieldPosition="0">
        <references count="3">
          <reference field="4294967294" count="1" selected="0">
            <x v="1"/>
          </reference>
          <reference field="0" count="1" selected="0">
            <x v="5"/>
          </reference>
          <reference field="1" count="1">
            <x v="21"/>
          </reference>
        </references>
      </pivotArea>
    </format>
    <format dxfId="3163">
      <pivotArea collapsedLevelsAreSubtotals="1" fieldPosition="0">
        <references count="2">
          <reference field="4294967294" count="1" selected="0">
            <x v="1"/>
          </reference>
          <reference field="0" count="1">
            <x v="6"/>
          </reference>
        </references>
      </pivotArea>
    </format>
    <format dxfId="3164">
      <pivotArea collapsedLevelsAreSubtotals="1" fieldPosition="0">
        <references count="3">
          <reference field="4294967294" count="1" selected="0">
            <x v="1"/>
          </reference>
          <reference field="0" count="1" selected="0">
            <x v="6"/>
          </reference>
          <reference field="1" count="1">
            <x v="22"/>
          </reference>
        </references>
      </pivotArea>
    </format>
    <format dxfId="3165">
      <pivotArea collapsedLevelsAreSubtotals="1" fieldPosition="0">
        <references count="2">
          <reference field="4294967294" count="1" selected="0">
            <x v="1"/>
          </reference>
          <reference field="0" count="1">
            <x v="7"/>
          </reference>
        </references>
      </pivotArea>
    </format>
    <format dxfId="3166">
      <pivotArea collapsedLevelsAreSubtotals="1" fieldPosition="0">
        <references count="3">
          <reference field="4294967294" count="1" selected="0">
            <x v="1"/>
          </reference>
          <reference field="0" count="1" selected="0">
            <x v="7"/>
          </reference>
          <reference field="1" count="1">
            <x v="23"/>
          </reference>
        </references>
      </pivotArea>
    </format>
    <format dxfId="3167">
      <pivotArea collapsedLevelsAreSubtotals="1" fieldPosition="0">
        <references count="2">
          <reference field="4294967294" count="1" selected="0">
            <x v="1"/>
          </reference>
          <reference field="0" count="1">
            <x v="8"/>
          </reference>
        </references>
      </pivotArea>
    </format>
    <format dxfId="3168">
      <pivotArea collapsedLevelsAreSubtotals="1" fieldPosition="0">
        <references count="3">
          <reference field="4294967294" count="1" selected="0">
            <x v="1"/>
          </reference>
          <reference field="0" count="1" selected="0">
            <x v="8"/>
          </reference>
          <reference field="1" count="1">
            <x v="24"/>
          </reference>
        </references>
      </pivotArea>
    </format>
    <format dxfId="3169">
      <pivotArea collapsedLevelsAreSubtotals="1" fieldPosition="0">
        <references count="2">
          <reference field="4294967294" count="1" selected="0">
            <x v="1"/>
          </reference>
          <reference field="0" count="1">
            <x v="9"/>
          </reference>
        </references>
      </pivotArea>
    </format>
    <format dxfId="3170">
      <pivotArea collapsedLevelsAreSubtotals="1" fieldPosition="0">
        <references count="3">
          <reference field="4294967294" count="1" selected="0">
            <x v="1"/>
          </reference>
          <reference field="0" count="1" selected="0">
            <x v="9"/>
          </reference>
          <reference field="1" count="2">
            <x v="25"/>
            <x v="26"/>
          </reference>
        </references>
      </pivotArea>
    </format>
    <format dxfId="3171">
      <pivotArea collapsedLevelsAreSubtotals="1" fieldPosition="0">
        <references count="2">
          <reference field="4294967294" count="1" selected="0">
            <x v="1"/>
          </reference>
          <reference field="0" count="1">
            <x v="10"/>
          </reference>
        </references>
      </pivotArea>
    </format>
    <format dxfId="3172">
      <pivotArea collapsedLevelsAreSubtotals="1" fieldPosition="0">
        <references count="3">
          <reference field="4294967294" count="1" selected="0">
            <x v="1"/>
          </reference>
          <reference field="0" count="1" selected="0">
            <x v="10"/>
          </reference>
          <reference field="1" count="1">
            <x v="27"/>
          </reference>
        </references>
      </pivotArea>
    </format>
    <format dxfId="3173">
      <pivotArea collapsedLevelsAreSubtotals="1" fieldPosition="0">
        <references count="2">
          <reference field="4294967294" count="1" selected="0">
            <x v="1"/>
          </reference>
          <reference field="0" count="1">
            <x v="11"/>
          </reference>
        </references>
      </pivotArea>
    </format>
    <format dxfId="3174">
      <pivotArea collapsedLevelsAreSubtotals="1" fieldPosition="0">
        <references count="3">
          <reference field="4294967294" count="1" selected="0">
            <x v="1"/>
          </reference>
          <reference field="0" count="1" selected="0">
            <x v="11"/>
          </reference>
          <reference field="1" count="1">
            <x v="28"/>
          </reference>
        </references>
      </pivotArea>
    </format>
    <format dxfId="3175">
      <pivotArea collapsedLevelsAreSubtotals="1" fieldPosition="0">
        <references count="2">
          <reference field="4294967294" count="1" selected="0">
            <x v="1"/>
          </reference>
          <reference field="0" count="1">
            <x v="12"/>
          </reference>
        </references>
      </pivotArea>
    </format>
    <format dxfId="3176">
      <pivotArea collapsedLevelsAreSubtotals="1" fieldPosition="0">
        <references count="3">
          <reference field="4294967294" count="1" selected="0">
            <x v="1"/>
          </reference>
          <reference field="0" count="1" selected="0">
            <x v="12"/>
          </reference>
          <reference field="1" count="1">
            <x v="29"/>
          </reference>
        </references>
      </pivotArea>
    </format>
    <format dxfId="3177">
      <pivotArea collapsedLevelsAreSubtotals="1" fieldPosition="0">
        <references count="2">
          <reference field="4294967294" count="1" selected="0">
            <x v="1"/>
          </reference>
          <reference field="0" count="1">
            <x v="13"/>
          </reference>
        </references>
      </pivotArea>
    </format>
    <format dxfId="3178">
      <pivotArea collapsedLevelsAreSubtotals="1" fieldPosition="0">
        <references count="3">
          <reference field="4294967294" count="1" selected="0">
            <x v="1"/>
          </reference>
          <reference field="0" count="1" selected="0">
            <x v="13"/>
          </reference>
          <reference field="1" count="1">
            <x v="30"/>
          </reference>
        </references>
      </pivotArea>
    </format>
    <format dxfId="3179">
      <pivotArea collapsedLevelsAreSubtotals="1" fieldPosition="0">
        <references count="2">
          <reference field="4294967294" count="1" selected="0">
            <x v="1"/>
          </reference>
          <reference field="0" count="1">
            <x v="14"/>
          </reference>
        </references>
      </pivotArea>
    </format>
    <format dxfId="3180">
      <pivotArea collapsedLevelsAreSubtotals="1" fieldPosition="0">
        <references count="3">
          <reference field="4294967294" count="1" selected="0">
            <x v="1"/>
          </reference>
          <reference field="0" count="1" selected="0">
            <x v="14"/>
          </reference>
          <reference field="1" count="2">
            <x v="31"/>
            <x v="32"/>
          </reference>
        </references>
      </pivotArea>
    </format>
    <format dxfId="3181">
      <pivotArea collapsedLevelsAreSubtotals="1" fieldPosition="0">
        <references count="2">
          <reference field="4294967294" count="1" selected="0">
            <x v="1"/>
          </reference>
          <reference field="0" count="1">
            <x v="15"/>
          </reference>
        </references>
      </pivotArea>
    </format>
    <format dxfId="3182">
      <pivotArea collapsedLevelsAreSubtotals="1" fieldPosition="0">
        <references count="3">
          <reference field="4294967294" count="1" selected="0">
            <x v="1"/>
          </reference>
          <reference field="0" count="1" selected="0">
            <x v="15"/>
          </reference>
          <reference field="1" count="1">
            <x v="33"/>
          </reference>
        </references>
      </pivotArea>
    </format>
    <format dxfId="3183">
      <pivotArea collapsedLevelsAreSubtotals="1" fieldPosition="0">
        <references count="2">
          <reference field="4294967294" count="1" selected="0">
            <x v="1"/>
          </reference>
          <reference field="0" count="1">
            <x v="16"/>
          </reference>
        </references>
      </pivotArea>
    </format>
    <format dxfId="3184">
      <pivotArea collapsedLevelsAreSubtotals="1" fieldPosition="0">
        <references count="3">
          <reference field="4294967294" count="1" selected="0">
            <x v="1"/>
          </reference>
          <reference field="0" count="1" selected="0">
            <x v="16"/>
          </reference>
          <reference field="1" count="1">
            <x v="34"/>
          </reference>
        </references>
      </pivotArea>
    </format>
    <format dxfId="3185">
      <pivotArea collapsedLevelsAreSubtotals="1" fieldPosition="0">
        <references count="2">
          <reference field="4294967294" count="1" selected="0">
            <x v="1"/>
          </reference>
          <reference field="0" count="1">
            <x v="17"/>
          </reference>
        </references>
      </pivotArea>
    </format>
    <format dxfId="3186">
      <pivotArea collapsedLevelsAreSubtotals="1" fieldPosition="0">
        <references count="3">
          <reference field="4294967294" count="1" selected="0">
            <x v="1"/>
          </reference>
          <reference field="0" count="1" selected="0">
            <x v="17"/>
          </reference>
          <reference field="1" count="1">
            <x v="35"/>
          </reference>
        </references>
      </pivotArea>
    </format>
    <format dxfId="3187">
      <pivotArea collapsedLevelsAreSubtotals="1" fieldPosition="0">
        <references count="2">
          <reference field="4294967294" count="1" selected="0">
            <x v="1"/>
          </reference>
          <reference field="0" count="1">
            <x v="18"/>
          </reference>
        </references>
      </pivotArea>
    </format>
    <format dxfId="3188">
      <pivotArea collapsedLevelsAreSubtotals="1" fieldPosition="0">
        <references count="3">
          <reference field="4294967294" count="1" selected="0">
            <x v="1"/>
          </reference>
          <reference field="0" count="1" selected="0">
            <x v="18"/>
          </reference>
          <reference field="1" count="1">
            <x v="36"/>
          </reference>
        </references>
      </pivotArea>
    </format>
    <format dxfId="3189">
      <pivotArea collapsedLevelsAreSubtotals="1" fieldPosition="0">
        <references count="2">
          <reference field="4294967294" count="1" selected="0">
            <x v="1"/>
          </reference>
          <reference field="0" count="1">
            <x v="19"/>
          </reference>
        </references>
      </pivotArea>
    </format>
    <format dxfId="3190">
      <pivotArea collapsedLevelsAreSubtotals="1" fieldPosition="0">
        <references count="3">
          <reference field="4294967294" count="1" selected="0">
            <x v="1"/>
          </reference>
          <reference field="0" count="1" selected="0">
            <x v="19"/>
          </reference>
          <reference field="1" count="1">
            <x v="37"/>
          </reference>
        </references>
      </pivotArea>
    </format>
    <format dxfId="3191">
      <pivotArea collapsedLevelsAreSubtotals="1" fieldPosition="0">
        <references count="2">
          <reference field="4294967294" count="1" selected="0">
            <x v="1"/>
          </reference>
          <reference field="0" count="1">
            <x v="20"/>
          </reference>
        </references>
      </pivotArea>
    </format>
    <format dxfId="3192">
      <pivotArea collapsedLevelsAreSubtotals="1" fieldPosition="0">
        <references count="3">
          <reference field="4294967294" count="1" selected="0">
            <x v="1"/>
          </reference>
          <reference field="0" count="1" selected="0">
            <x v="20"/>
          </reference>
          <reference field="1" count="1">
            <x v="38"/>
          </reference>
        </references>
      </pivotArea>
    </format>
    <format dxfId="3193">
      <pivotArea collapsedLevelsAreSubtotals="1" fieldPosition="0">
        <references count="2">
          <reference field="4294967294" count="1" selected="0">
            <x v="1"/>
          </reference>
          <reference field="0" count="1">
            <x v="21"/>
          </reference>
        </references>
      </pivotArea>
    </format>
    <format dxfId="3194">
      <pivotArea collapsedLevelsAreSubtotals="1" fieldPosition="0">
        <references count="3">
          <reference field="4294967294" count="1" selected="0">
            <x v="1"/>
          </reference>
          <reference field="0" count="1" selected="0">
            <x v="21"/>
          </reference>
          <reference field="1" count="1">
            <x v="39"/>
          </reference>
        </references>
      </pivotArea>
    </format>
    <format dxfId="3195">
      <pivotArea collapsedLevelsAreSubtotals="1" fieldPosition="0">
        <references count="2">
          <reference field="4294967294" count="1" selected="0">
            <x v="1"/>
          </reference>
          <reference field="0" count="1">
            <x v="22"/>
          </reference>
        </references>
      </pivotArea>
    </format>
    <format dxfId="3196">
      <pivotArea collapsedLevelsAreSubtotals="1" fieldPosition="0">
        <references count="3">
          <reference field="4294967294" count="1" selected="0">
            <x v="1"/>
          </reference>
          <reference field="0" count="1" selected="0">
            <x v="22"/>
          </reference>
          <reference field="1" count="1">
            <x v="40"/>
          </reference>
        </references>
      </pivotArea>
    </format>
    <format dxfId="3197">
      <pivotArea collapsedLevelsAreSubtotals="1" fieldPosition="0">
        <references count="2">
          <reference field="4294967294" count="1" selected="0">
            <x v="1"/>
          </reference>
          <reference field="0" count="1">
            <x v="23"/>
          </reference>
        </references>
      </pivotArea>
    </format>
    <format dxfId="3198">
      <pivotArea collapsedLevelsAreSubtotals="1" fieldPosition="0">
        <references count="3">
          <reference field="4294967294" count="1" selected="0">
            <x v="1"/>
          </reference>
          <reference field="0" count="1" selected="0">
            <x v="23"/>
          </reference>
          <reference field="1" count="3">
            <x v="41"/>
            <x v="42"/>
            <x v="43"/>
          </reference>
        </references>
      </pivotArea>
    </format>
    <format dxfId="3199">
      <pivotArea collapsedLevelsAreSubtotals="1" fieldPosition="0">
        <references count="2">
          <reference field="4294967294" count="1" selected="0">
            <x v="1"/>
          </reference>
          <reference field="0" count="1">
            <x v="24"/>
          </reference>
        </references>
      </pivotArea>
    </format>
    <format dxfId="3200">
      <pivotArea collapsedLevelsAreSubtotals="1" fieldPosition="0">
        <references count="3">
          <reference field="4294967294" count="1" selected="0">
            <x v="1"/>
          </reference>
          <reference field="0" count="1" selected="0">
            <x v="24"/>
          </reference>
          <reference field="1" count="3">
            <x v="44"/>
            <x v="45"/>
            <x v="46"/>
          </reference>
        </references>
      </pivotArea>
    </format>
    <format dxfId="3201">
      <pivotArea collapsedLevelsAreSubtotals="1" fieldPosition="0">
        <references count="2">
          <reference field="4294967294" count="1" selected="0">
            <x v="1"/>
          </reference>
          <reference field="0" count="1">
            <x v="25"/>
          </reference>
        </references>
      </pivotArea>
    </format>
    <format dxfId="3202">
      <pivotArea collapsedLevelsAreSubtotals="1" fieldPosition="0">
        <references count="3">
          <reference field="4294967294" count="1" selected="0">
            <x v="1"/>
          </reference>
          <reference field="0" count="1" selected="0">
            <x v="25"/>
          </reference>
          <reference field="1" count="2">
            <x v="47"/>
            <x v="48"/>
          </reference>
        </references>
      </pivotArea>
    </format>
    <format dxfId="3203">
      <pivotArea collapsedLevelsAreSubtotals="1" fieldPosition="0">
        <references count="2">
          <reference field="4294967294" count="1" selected="0">
            <x v="1"/>
          </reference>
          <reference field="0" count="1">
            <x v="26"/>
          </reference>
        </references>
      </pivotArea>
    </format>
    <format dxfId="3204">
      <pivotArea collapsedLevelsAreSubtotals="1" fieldPosition="0">
        <references count="3">
          <reference field="4294967294" count="1" selected="0">
            <x v="1"/>
          </reference>
          <reference field="0" count="1" selected="0">
            <x v="26"/>
          </reference>
          <reference field="1" count="2">
            <x v="49"/>
            <x v="50"/>
          </reference>
        </references>
      </pivotArea>
    </format>
    <format dxfId="3205">
      <pivotArea collapsedLevelsAreSubtotals="1" fieldPosition="0">
        <references count="2">
          <reference field="4294967294" count="1" selected="0">
            <x v="1"/>
          </reference>
          <reference field="0" count="1">
            <x v="27"/>
          </reference>
        </references>
      </pivotArea>
    </format>
    <format dxfId="3206">
      <pivotArea collapsedLevelsAreSubtotals="1" fieldPosition="0">
        <references count="3">
          <reference field="4294967294" count="1" selected="0">
            <x v="1"/>
          </reference>
          <reference field="0" count="1" selected="0">
            <x v="27"/>
          </reference>
          <reference field="1" count="1">
            <x v="51"/>
          </reference>
        </references>
      </pivotArea>
    </format>
    <format dxfId="3207">
      <pivotArea collapsedLevelsAreSubtotals="1" fieldPosition="0">
        <references count="2">
          <reference field="4294967294" count="1" selected="0">
            <x v="1"/>
          </reference>
          <reference field="0" count="1">
            <x v="28"/>
          </reference>
        </references>
      </pivotArea>
    </format>
    <format dxfId="3208">
      <pivotArea collapsedLevelsAreSubtotals="1" fieldPosition="0">
        <references count="3">
          <reference field="4294967294" count="1" selected="0">
            <x v="1"/>
          </reference>
          <reference field="0" count="1" selected="0">
            <x v="28"/>
          </reference>
          <reference field="1" count="1">
            <x v="52"/>
          </reference>
        </references>
      </pivotArea>
    </format>
    <format dxfId="3209">
      <pivotArea collapsedLevelsAreSubtotals="1" fieldPosition="0">
        <references count="2">
          <reference field="4294967294" count="1" selected="0">
            <x v="1"/>
          </reference>
          <reference field="0" count="1">
            <x v="29"/>
          </reference>
        </references>
      </pivotArea>
    </format>
    <format dxfId="3210">
      <pivotArea collapsedLevelsAreSubtotals="1" fieldPosition="0">
        <references count="3">
          <reference field="4294967294" count="1" selected="0">
            <x v="1"/>
          </reference>
          <reference field="0" count="1" selected="0">
            <x v="29"/>
          </reference>
          <reference field="1" count="1">
            <x v="53"/>
          </reference>
        </references>
      </pivotArea>
    </format>
    <format dxfId="3211">
      <pivotArea collapsedLevelsAreSubtotals="1" fieldPosition="0">
        <references count="2">
          <reference field="4294967294" count="1" selected="0">
            <x v="1"/>
          </reference>
          <reference field="0" count="1">
            <x v="30"/>
          </reference>
        </references>
      </pivotArea>
    </format>
    <format dxfId="3212">
      <pivotArea collapsedLevelsAreSubtotals="1" fieldPosition="0">
        <references count="3">
          <reference field="4294967294" count="1" selected="0">
            <x v="1"/>
          </reference>
          <reference field="0" count="1" selected="0">
            <x v="30"/>
          </reference>
          <reference field="1" count="1">
            <x v="54"/>
          </reference>
        </references>
      </pivotArea>
    </format>
    <format dxfId="3213">
      <pivotArea collapsedLevelsAreSubtotals="1" fieldPosition="0">
        <references count="2">
          <reference field="4294967294" count="1" selected="0">
            <x v="1"/>
          </reference>
          <reference field="0" count="1">
            <x v="31"/>
          </reference>
        </references>
      </pivotArea>
    </format>
    <format dxfId="3214">
      <pivotArea collapsedLevelsAreSubtotals="1" fieldPosition="0">
        <references count="3">
          <reference field="4294967294" count="1" selected="0">
            <x v="1"/>
          </reference>
          <reference field="0" count="1" selected="0">
            <x v="31"/>
          </reference>
          <reference field="1" count="1">
            <x v="55"/>
          </reference>
        </references>
      </pivotArea>
    </format>
    <format dxfId="3215">
      <pivotArea collapsedLevelsAreSubtotals="1" fieldPosition="0">
        <references count="2">
          <reference field="4294967294" count="1" selected="0">
            <x v="1"/>
          </reference>
          <reference field="0" count="1">
            <x v="32"/>
          </reference>
        </references>
      </pivotArea>
    </format>
    <format dxfId="3216">
      <pivotArea collapsedLevelsAreSubtotals="1" fieldPosition="0">
        <references count="3">
          <reference field="4294967294" count="1" selected="0">
            <x v="1"/>
          </reference>
          <reference field="0" count="1" selected="0">
            <x v="32"/>
          </reference>
          <reference field="1" count="1">
            <x v="56"/>
          </reference>
        </references>
      </pivotArea>
    </format>
    <format dxfId="3217">
      <pivotArea collapsedLevelsAreSubtotals="1" fieldPosition="0">
        <references count="2">
          <reference field="4294967294" count="1" selected="0">
            <x v="1"/>
          </reference>
          <reference field="0" count="1">
            <x v="33"/>
          </reference>
        </references>
      </pivotArea>
    </format>
    <format dxfId="3218">
      <pivotArea collapsedLevelsAreSubtotals="1" fieldPosition="0">
        <references count="3">
          <reference field="4294967294" count="1" selected="0">
            <x v="1"/>
          </reference>
          <reference field="0" count="1" selected="0">
            <x v="33"/>
          </reference>
          <reference field="1" count="1">
            <x v="57"/>
          </reference>
        </references>
      </pivotArea>
    </format>
    <format dxfId="3219">
      <pivotArea collapsedLevelsAreSubtotals="1" fieldPosition="0">
        <references count="2">
          <reference field="4294967294" count="1" selected="0">
            <x v="1"/>
          </reference>
          <reference field="0" count="1">
            <x v="34"/>
          </reference>
        </references>
      </pivotArea>
    </format>
    <format dxfId="3220">
      <pivotArea collapsedLevelsAreSubtotals="1" fieldPosition="0">
        <references count="3">
          <reference field="4294967294" count="1" selected="0">
            <x v="1"/>
          </reference>
          <reference field="0" count="1" selected="0">
            <x v="34"/>
          </reference>
          <reference field="1" count="1">
            <x v="9"/>
          </reference>
        </references>
      </pivotArea>
    </format>
    <format dxfId="3221">
      <pivotArea collapsedLevelsAreSubtotals="1" fieldPosition="0">
        <references count="2">
          <reference field="4294967294" count="1" selected="0">
            <x v="1"/>
          </reference>
          <reference field="0" count="1">
            <x v="35"/>
          </reference>
        </references>
      </pivotArea>
    </format>
    <format dxfId="3222">
      <pivotArea collapsedLevelsAreSubtotals="1" fieldPosition="0">
        <references count="3">
          <reference field="4294967294" count="1" selected="0">
            <x v="1"/>
          </reference>
          <reference field="0" count="1" selected="0">
            <x v="35"/>
          </reference>
          <reference field="1" count="1">
            <x v="58"/>
          </reference>
        </references>
      </pivotArea>
    </format>
    <format dxfId="3223">
      <pivotArea collapsedLevelsAreSubtotals="1" fieldPosition="0">
        <references count="2">
          <reference field="4294967294" count="1" selected="0">
            <x v="1"/>
          </reference>
          <reference field="0" count="1">
            <x v="36"/>
          </reference>
        </references>
      </pivotArea>
    </format>
    <format dxfId="3224">
      <pivotArea collapsedLevelsAreSubtotals="1" fieldPosition="0">
        <references count="3">
          <reference field="4294967294" count="1" selected="0">
            <x v="1"/>
          </reference>
          <reference field="0" count="1" selected="0">
            <x v="36"/>
          </reference>
          <reference field="1" count="2">
            <x v="59"/>
            <x v="60"/>
          </reference>
        </references>
      </pivotArea>
    </format>
    <format dxfId="3225">
      <pivotArea collapsedLevelsAreSubtotals="1" fieldPosition="0">
        <references count="2">
          <reference field="4294967294" count="1" selected="0">
            <x v="1"/>
          </reference>
          <reference field="0" count="1">
            <x v="37"/>
          </reference>
        </references>
      </pivotArea>
    </format>
    <format dxfId="3226">
      <pivotArea collapsedLevelsAreSubtotals="1" fieldPosition="0">
        <references count="3">
          <reference field="4294967294" count="1" selected="0">
            <x v="1"/>
          </reference>
          <reference field="0" count="1" selected="0">
            <x v="37"/>
          </reference>
          <reference field="1" count="2">
            <x v="0"/>
            <x v="1"/>
          </reference>
        </references>
      </pivotArea>
    </format>
    <format dxfId="3227">
      <pivotArea collapsedLevelsAreSubtotals="1" fieldPosition="0">
        <references count="2">
          <reference field="4294967294" count="1" selected="0">
            <x v="1"/>
          </reference>
          <reference field="0" count="1">
            <x v="38"/>
          </reference>
        </references>
      </pivotArea>
    </format>
    <format dxfId="3228">
      <pivotArea collapsedLevelsAreSubtotals="1" fieldPosition="0">
        <references count="3">
          <reference field="4294967294" count="1" selected="0">
            <x v="1"/>
          </reference>
          <reference field="0" count="1" selected="0">
            <x v="38"/>
          </reference>
          <reference field="1" count="2">
            <x v="61"/>
            <x v="62"/>
          </reference>
        </references>
      </pivotArea>
    </format>
    <format dxfId="3229">
      <pivotArea collapsedLevelsAreSubtotals="1" fieldPosition="0">
        <references count="2">
          <reference field="4294967294" count="1" selected="0">
            <x v="1"/>
          </reference>
          <reference field="0" count="1">
            <x v="39"/>
          </reference>
        </references>
      </pivotArea>
    </format>
    <format dxfId="3230">
      <pivotArea collapsedLevelsAreSubtotals="1" fieldPosition="0">
        <references count="3">
          <reference field="4294967294" count="1" selected="0">
            <x v="1"/>
          </reference>
          <reference field="0" count="1" selected="0">
            <x v="39"/>
          </reference>
          <reference field="1" count="1">
            <x v="10"/>
          </reference>
        </references>
      </pivotArea>
    </format>
    <format dxfId="3231">
      <pivotArea collapsedLevelsAreSubtotals="1" fieldPosition="0">
        <references count="2">
          <reference field="4294967294" count="1" selected="0">
            <x v="1"/>
          </reference>
          <reference field="0" count="1">
            <x v="40"/>
          </reference>
        </references>
      </pivotArea>
    </format>
    <format dxfId="3232">
      <pivotArea collapsedLevelsAreSubtotals="1" fieldPosition="0">
        <references count="3">
          <reference field="4294967294" count="1" selected="0">
            <x v="1"/>
          </reference>
          <reference field="0" count="1" selected="0">
            <x v="40"/>
          </reference>
          <reference field="1" count="1">
            <x v="63"/>
          </reference>
        </references>
      </pivotArea>
    </format>
    <format dxfId="3233">
      <pivotArea collapsedLevelsAreSubtotals="1" fieldPosition="0">
        <references count="2">
          <reference field="4294967294" count="1" selected="0">
            <x v="1"/>
          </reference>
          <reference field="0" count="1">
            <x v="41"/>
          </reference>
        </references>
      </pivotArea>
    </format>
    <format dxfId="3234">
      <pivotArea collapsedLevelsAreSubtotals="1" fieldPosition="0">
        <references count="3">
          <reference field="4294967294" count="1" selected="0">
            <x v="1"/>
          </reference>
          <reference field="0" count="1" selected="0">
            <x v="41"/>
          </reference>
          <reference field="1" count="1">
            <x v="64"/>
          </reference>
        </references>
      </pivotArea>
    </format>
    <format dxfId="3235">
      <pivotArea collapsedLevelsAreSubtotals="1" fieldPosition="0">
        <references count="2">
          <reference field="4294967294" count="1" selected="0">
            <x v="1"/>
          </reference>
          <reference field="0" count="1">
            <x v="42"/>
          </reference>
        </references>
      </pivotArea>
    </format>
    <format dxfId="3236">
      <pivotArea collapsedLevelsAreSubtotals="1" fieldPosition="0">
        <references count="3">
          <reference field="4294967294" count="1" selected="0">
            <x v="1"/>
          </reference>
          <reference field="0" count="1" selected="0">
            <x v="42"/>
          </reference>
          <reference field="1" count="1">
            <x v="4"/>
          </reference>
        </references>
      </pivotArea>
    </format>
    <format dxfId="3237">
      <pivotArea collapsedLevelsAreSubtotals="1" fieldPosition="0">
        <references count="2">
          <reference field="4294967294" count="1" selected="0">
            <x v="1"/>
          </reference>
          <reference field="0" count="1">
            <x v="43"/>
          </reference>
        </references>
      </pivotArea>
    </format>
    <format dxfId="3238">
      <pivotArea collapsedLevelsAreSubtotals="1" fieldPosition="0">
        <references count="3">
          <reference field="4294967294" count="1" selected="0">
            <x v="1"/>
          </reference>
          <reference field="0" count="1" selected="0">
            <x v="43"/>
          </reference>
          <reference field="1" count="2">
            <x v="65"/>
            <x v="66"/>
          </reference>
        </references>
      </pivotArea>
    </format>
    <format dxfId="3239">
      <pivotArea collapsedLevelsAreSubtotals="1" fieldPosition="0">
        <references count="2">
          <reference field="4294967294" count="1" selected="0">
            <x v="1"/>
          </reference>
          <reference field="0" count="1">
            <x v="44"/>
          </reference>
        </references>
      </pivotArea>
    </format>
    <format dxfId="3240">
      <pivotArea collapsedLevelsAreSubtotals="1" fieldPosition="0">
        <references count="3">
          <reference field="4294967294" count="1" selected="0">
            <x v="1"/>
          </reference>
          <reference field="0" count="1" selected="0">
            <x v="44"/>
          </reference>
          <reference field="1" count="1">
            <x v="67"/>
          </reference>
        </references>
      </pivotArea>
    </format>
    <format dxfId="3241">
      <pivotArea collapsedLevelsAreSubtotals="1" fieldPosition="0">
        <references count="2">
          <reference field="4294967294" count="1" selected="0">
            <x v="1"/>
          </reference>
          <reference field="0" count="1">
            <x v="45"/>
          </reference>
        </references>
      </pivotArea>
    </format>
    <format dxfId="3242">
      <pivotArea collapsedLevelsAreSubtotals="1" fieldPosition="0">
        <references count="3">
          <reference field="4294967294" count="1" selected="0">
            <x v="1"/>
          </reference>
          <reference field="0" count="1" selected="0">
            <x v="45"/>
          </reference>
          <reference field="1" count="1">
            <x v="68"/>
          </reference>
        </references>
      </pivotArea>
    </format>
    <format dxfId="3243">
      <pivotArea collapsedLevelsAreSubtotals="1" fieldPosition="0">
        <references count="2">
          <reference field="4294967294" count="1" selected="0">
            <x v="1"/>
          </reference>
          <reference field="0" count="1">
            <x v="46"/>
          </reference>
        </references>
      </pivotArea>
    </format>
    <format dxfId="3244">
      <pivotArea collapsedLevelsAreSubtotals="1" fieldPosition="0">
        <references count="3">
          <reference field="4294967294" count="1" selected="0">
            <x v="1"/>
          </reference>
          <reference field="0" count="1" selected="0">
            <x v="46"/>
          </reference>
          <reference field="1" count="1">
            <x v="69"/>
          </reference>
        </references>
      </pivotArea>
    </format>
    <format dxfId="3245">
      <pivotArea collapsedLevelsAreSubtotals="1" fieldPosition="0">
        <references count="2">
          <reference field="4294967294" count="1" selected="0">
            <x v="1"/>
          </reference>
          <reference field="0" count="1">
            <x v="47"/>
          </reference>
        </references>
      </pivotArea>
    </format>
    <format dxfId="3246">
      <pivotArea collapsedLevelsAreSubtotals="1" fieldPosition="0">
        <references count="3">
          <reference field="4294967294" count="1" selected="0">
            <x v="1"/>
          </reference>
          <reference field="0" count="1" selected="0">
            <x v="47"/>
          </reference>
          <reference field="1" count="1">
            <x v="70"/>
          </reference>
        </references>
      </pivotArea>
    </format>
    <format dxfId="3247">
      <pivotArea collapsedLevelsAreSubtotals="1" fieldPosition="0">
        <references count="2">
          <reference field="4294967294" count="1" selected="0">
            <x v="1"/>
          </reference>
          <reference field="0" count="1">
            <x v="48"/>
          </reference>
        </references>
      </pivotArea>
    </format>
    <format dxfId="3248">
      <pivotArea collapsedLevelsAreSubtotals="1" fieldPosition="0">
        <references count="3">
          <reference field="4294967294" count="1" selected="0">
            <x v="1"/>
          </reference>
          <reference field="0" count="1" selected="0">
            <x v="48"/>
          </reference>
          <reference field="1" count="1">
            <x v="71"/>
          </reference>
        </references>
      </pivotArea>
    </format>
    <format dxfId="3249">
      <pivotArea collapsedLevelsAreSubtotals="1" fieldPosition="0">
        <references count="2">
          <reference field="4294967294" count="1" selected="0">
            <x v="1"/>
          </reference>
          <reference field="0" count="1">
            <x v="49"/>
          </reference>
        </references>
      </pivotArea>
    </format>
    <format dxfId="3250">
      <pivotArea collapsedLevelsAreSubtotals="1" fieldPosition="0">
        <references count="3">
          <reference field="4294967294" count="1" selected="0">
            <x v="1"/>
          </reference>
          <reference field="0" count="1" selected="0">
            <x v="49"/>
          </reference>
          <reference field="1" count="1">
            <x v="72"/>
          </reference>
        </references>
      </pivotArea>
    </format>
    <format dxfId="3251">
      <pivotArea collapsedLevelsAreSubtotals="1" fieldPosition="0">
        <references count="2">
          <reference field="4294967294" count="1" selected="0">
            <x v="1"/>
          </reference>
          <reference field="0" count="1">
            <x v="50"/>
          </reference>
        </references>
      </pivotArea>
    </format>
    <format dxfId="3252">
      <pivotArea collapsedLevelsAreSubtotals="1" fieldPosition="0">
        <references count="3">
          <reference field="4294967294" count="1" selected="0">
            <x v="1"/>
          </reference>
          <reference field="0" count="1" selected="0">
            <x v="50"/>
          </reference>
          <reference field="1" count="1">
            <x v="73"/>
          </reference>
        </references>
      </pivotArea>
    </format>
    <format dxfId="3253">
      <pivotArea collapsedLevelsAreSubtotals="1" fieldPosition="0">
        <references count="2">
          <reference field="4294967294" count="1" selected="0">
            <x v="1"/>
          </reference>
          <reference field="0" count="1">
            <x v="51"/>
          </reference>
        </references>
      </pivotArea>
    </format>
    <format dxfId="3254">
      <pivotArea collapsedLevelsAreSubtotals="1" fieldPosition="0">
        <references count="3">
          <reference field="4294967294" count="1" selected="0">
            <x v="1"/>
          </reference>
          <reference field="0" count="1" selected="0">
            <x v="51"/>
          </reference>
          <reference field="1" count="1">
            <x v="74"/>
          </reference>
        </references>
      </pivotArea>
    </format>
    <format dxfId="3255">
      <pivotArea collapsedLevelsAreSubtotals="1" fieldPosition="0">
        <references count="2">
          <reference field="4294967294" count="1" selected="0">
            <x v="1"/>
          </reference>
          <reference field="0" count="1">
            <x v="52"/>
          </reference>
        </references>
      </pivotArea>
    </format>
    <format dxfId="3256">
      <pivotArea collapsedLevelsAreSubtotals="1" fieldPosition="0">
        <references count="3">
          <reference field="4294967294" count="1" selected="0">
            <x v="1"/>
          </reference>
          <reference field="0" count="1" selected="0">
            <x v="52"/>
          </reference>
          <reference field="1" count="1">
            <x v="75"/>
          </reference>
        </references>
      </pivotArea>
    </format>
    <format dxfId="3257">
      <pivotArea collapsedLevelsAreSubtotals="1" fieldPosition="0">
        <references count="2">
          <reference field="4294967294" count="1" selected="0">
            <x v="1"/>
          </reference>
          <reference field="0" count="1">
            <x v="53"/>
          </reference>
        </references>
      </pivotArea>
    </format>
    <format dxfId="3258">
      <pivotArea collapsedLevelsAreSubtotals="1" fieldPosition="0">
        <references count="3">
          <reference field="4294967294" count="1" selected="0">
            <x v="1"/>
          </reference>
          <reference field="0" count="1" selected="0">
            <x v="53"/>
          </reference>
          <reference field="1" count="1">
            <x v="76"/>
          </reference>
        </references>
      </pivotArea>
    </format>
    <format dxfId="3259">
      <pivotArea collapsedLevelsAreSubtotals="1" fieldPosition="0">
        <references count="2">
          <reference field="4294967294" count="1" selected="0">
            <x v="1"/>
          </reference>
          <reference field="0" count="1">
            <x v="54"/>
          </reference>
        </references>
      </pivotArea>
    </format>
    <format dxfId="3260">
      <pivotArea collapsedLevelsAreSubtotals="1" fieldPosition="0">
        <references count="3">
          <reference field="4294967294" count="1" selected="0">
            <x v="1"/>
          </reference>
          <reference field="0" count="1" selected="0">
            <x v="54"/>
          </reference>
          <reference field="1" count="1">
            <x v="77"/>
          </reference>
        </references>
      </pivotArea>
    </format>
    <format dxfId="3261">
      <pivotArea collapsedLevelsAreSubtotals="1" fieldPosition="0">
        <references count="2">
          <reference field="4294967294" count="1" selected="0">
            <x v="1"/>
          </reference>
          <reference field="0" count="1">
            <x v="55"/>
          </reference>
        </references>
      </pivotArea>
    </format>
    <format dxfId="3262">
      <pivotArea collapsedLevelsAreSubtotals="1" fieldPosition="0">
        <references count="3">
          <reference field="4294967294" count="1" selected="0">
            <x v="1"/>
          </reference>
          <reference field="0" count="1" selected="0">
            <x v="55"/>
          </reference>
          <reference field="1" count="1">
            <x v="8"/>
          </reference>
        </references>
      </pivotArea>
    </format>
    <format dxfId="3263">
      <pivotArea collapsedLevelsAreSubtotals="1" fieldPosition="0">
        <references count="2">
          <reference field="4294967294" count="1" selected="0">
            <x v="1"/>
          </reference>
          <reference field="0" count="1">
            <x v="56"/>
          </reference>
        </references>
      </pivotArea>
    </format>
    <format dxfId="3264">
      <pivotArea collapsedLevelsAreSubtotals="1" fieldPosition="0">
        <references count="3">
          <reference field="4294967294" count="1" selected="0">
            <x v="1"/>
          </reference>
          <reference field="0" count="1" selected="0">
            <x v="56"/>
          </reference>
          <reference field="1" count="1">
            <x v="78"/>
          </reference>
        </references>
      </pivotArea>
    </format>
    <format dxfId="3265">
      <pivotArea collapsedLevelsAreSubtotals="1" fieldPosition="0">
        <references count="2">
          <reference field="4294967294" count="1" selected="0">
            <x v="1"/>
          </reference>
          <reference field="0" count="1">
            <x v="57"/>
          </reference>
        </references>
      </pivotArea>
    </format>
    <format dxfId="3266">
      <pivotArea collapsedLevelsAreSubtotals="1" fieldPosition="0">
        <references count="3">
          <reference field="4294967294" count="1" selected="0">
            <x v="1"/>
          </reference>
          <reference field="0" count="1" selected="0">
            <x v="57"/>
          </reference>
          <reference field="1" count="1">
            <x v="79"/>
          </reference>
        </references>
      </pivotArea>
    </format>
    <format dxfId="3267">
      <pivotArea collapsedLevelsAreSubtotals="1" fieldPosition="0">
        <references count="2">
          <reference field="4294967294" count="1" selected="0">
            <x v="1"/>
          </reference>
          <reference field="0" count="1">
            <x v="58"/>
          </reference>
        </references>
      </pivotArea>
    </format>
    <format dxfId="3268">
      <pivotArea collapsedLevelsAreSubtotals="1" fieldPosition="0">
        <references count="3">
          <reference field="4294967294" count="1" selected="0">
            <x v="1"/>
          </reference>
          <reference field="0" count="1" selected="0">
            <x v="58"/>
          </reference>
          <reference field="1" count="2">
            <x v="80"/>
            <x v="81"/>
          </reference>
        </references>
      </pivotArea>
    </format>
    <format dxfId="3269">
      <pivotArea collapsedLevelsAreSubtotals="1" fieldPosition="0">
        <references count="2">
          <reference field="4294967294" count="1" selected="0">
            <x v="1"/>
          </reference>
          <reference field="0" count="1">
            <x v="59"/>
          </reference>
        </references>
      </pivotArea>
    </format>
    <format dxfId="3270">
      <pivotArea collapsedLevelsAreSubtotals="1" fieldPosition="0">
        <references count="3">
          <reference field="4294967294" count="1" selected="0">
            <x v="1"/>
          </reference>
          <reference field="0" count="1" selected="0">
            <x v="59"/>
          </reference>
          <reference field="1" count="1">
            <x v="82"/>
          </reference>
        </references>
      </pivotArea>
    </format>
    <format dxfId="3271">
      <pivotArea collapsedLevelsAreSubtotals="1" fieldPosition="0">
        <references count="2">
          <reference field="4294967294" count="1" selected="0">
            <x v="1"/>
          </reference>
          <reference field="0" count="1">
            <x v="60"/>
          </reference>
        </references>
      </pivotArea>
    </format>
    <format dxfId="3272">
      <pivotArea collapsedLevelsAreSubtotals="1" fieldPosition="0">
        <references count="3">
          <reference field="4294967294" count="1" selected="0">
            <x v="1"/>
          </reference>
          <reference field="0" count="1" selected="0">
            <x v="60"/>
          </reference>
          <reference field="1" count="1">
            <x v="83"/>
          </reference>
        </references>
      </pivotArea>
    </format>
    <format dxfId="3273">
      <pivotArea collapsedLevelsAreSubtotals="1" fieldPosition="0">
        <references count="2">
          <reference field="4294967294" count="1" selected="0">
            <x v="1"/>
          </reference>
          <reference field="0" count="1">
            <x v="61"/>
          </reference>
        </references>
      </pivotArea>
    </format>
    <format dxfId="3274">
      <pivotArea collapsedLevelsAreSubtotals="1" fieldPosition="0">
        <references count="3">
          <reference field="4294967294" count="1" selected="0">
            <x v="1"/>
          </reference>
          <reference field="0" count="1" selected="0">
            <x v="61"/>
          </reference>
          <reference field="1" count="3">
            <x v="5"/>
            <x v="6"/>
            <x v="7"/>
          </reference>
        </references>
      </pivotArea>
    </format>
    <format dxfId="3275">
      <pivotArea collapsedLevelsAreSubtotals="1" fieldPosition="0">
        <references count="2">
          <reference field="4294967294" count="1" selected="0">
            <x v="1"/>
          </reference>
          <reference field="0" count="1">
            <x v="62"/>
          </reference>
        </references>
      </pivotArea>
    </format>
    <format dxfId="3276">
      <pivotArea collapsedLevelsAreSubtotals="1" fieldPosition="0">
        <references count="3">
          <reference field="4294967294" count="1" selected="0">
            <x v="1"/>
          </reference>
          <reference field="0" count="1" selected="0">
            <x v="62"/>
          </reference>
          <reference field="1" count="2">
            <x v="84"/>
            <x v="85"/>
          </reference>
        </references>
      </pivotArea>
    </format>
    <format dxfId="3277">
      <pivotArea collapsedLevelsAreSubtotals="1" fieldPosition="0">
        <references count="2">
          <reference field="4294967294" count="1" selected="0">
            <x v="1"/>
          </reference>
          <reference field="0" count="1">
            <x v="63"/>
          </reference>
        </references>
      </pivotArea>
    </format>
    <format dxfId="3278">
      <pivotArea collapsedLevelsAreSubtotals="1" fieldPosition="0">
        <references count="3">
          <reference field="4294967294" count="1" selected="0">
            <x v="1"/>
          </reference>
          <reference field="0" count="1" selected="0">
            <x v="63"/>
          </reference>
          <reference field="1" count="1">
            <x v="2"/>
          </reference>
        </references>
      </pivotArea>
    </format>
    <format dxfId="3279">
      <pivotArea collapsedLevelsAreSubtotals="1" fieldPosition="0">
        <references count="2">
          <reference field="4294967294" count="1" selected="0">
            <x v="1"/>
          </reference>
          <reference field="0" count="1">
            <x v="64"/>
          </reference>
        </references>
      </pivotArea>
    </format>
    <format dxfId="3280">
      <pivotArea collapsedLevelsAreSubtotals="1" fieldPosition="0">
        <references count="3">
          <reference field="4294967294" count="1" selected="0">
            <x v="1"/>
          </reference>
          <reference field="0" count="1" selected="0">
            <x v="64"/>
          </reference>
          <reference field="1" count="1">
            <x v="86"/>
          </reference>
        </references>
      </pivotArea>
    </format>
    <format dxfId="3281">
      <pivotArea collapsedLevelsAreSubtotals="1" fieldPosition="0">
        <references count="2">
          <reference field="4294967294" count="1" selected="0">
            <x v="1"/>
          </reference>
          <reference field="0" count="1">
            <x v="65"/>
          </reference>
        </references>
      </pivotArea>
    </format>
    <format dxfId="3282">
      <pivotArea collapsedLevelsAreSubtotals="1" fieldPosition="0">
        <references count="3">
          <reference field="4294967294" count="1" selected="0">
            <x v="1"/>
          </reference>
          <reference field="0" count="1" selected="0">
            <x v="65"/>
          </reference>
          <reference field="1" count="1">
            <x v="87"/>
          </reference>
        </references>
      </pivotArea>
    </format>
    <format dxfId="3283">
      <pivotArea collapsedLevelsAreSubtotals="1" fieldPosition="0">
        <references count="2">
          <reference field="4294967294" count="1" selected="0">
            <x v="1"/>
          </reference>
          <reference field="0" count="1">
            <x v="66"/>
          </reference>
        </references>
      </pivotArea>
    </format>
    <format dxfId="3284">
      <pivotArea collapsedLevelsAreSubtotals="1" fieldPosition="0">
        <references count="3">
          <reference field="4294967294" count="1" selected="0">
            <x v="1"/>
          </reference>
          <reference field="0" count="1" selected="0">
            <x v="66"/>
          </reference>
          <reference field="1" count="1">
            <x v="88"/>
          </reference>
        </references>
      </pivotArea>
    </format>
    <format dxfId="3285">
      <pivotArea collapsedLevelsAreSubtotals="1" fieldPosition="0">
        <references count="2">
          <reference field="4294967294" count="1" selected="0">
            <x v="1"/>
          </reference>
          <reference field="0" count="1">
            <x v="67"/>
          </reference>
        </references>
      </pivotArea>
    </format>
    <format dxfId="3286">
      <pivotArea collapsedLevelsAreSubtotals="1" fieldPosition="0">
        <references count="3">
          <reference field="4294967294" count="1" selected="0">
            <x v="1"/>
          </reference>
          <reference field="0" count="1" selected="0">
            <x v="67"/>
          </reference>
          <reference field="1" count="1">
            <x v="89"/>
          </reference>
        </references>
      </pivotArea>
    </format>
    <format dxfId="3287">
      <pivotArea collapsedLevelsAreSubtotals="1" fieldPosition="0">
        <references count="2">
          <reference field="4294967294" count="1" selected="0">
            <x v="1"/>
          </reference>
          <reference field="0" count="1">
            <x v="68"/>
          </reference>
        </references>
      </pivotArea>
    </format>
    <format dxfId="3288">
      <pivotArea collapsedLevelsAreSubtotals="1" fieldPosition="0">
        <references count="3">
          <reference field="4294967294" count="1" selected="0">
            <x v="1"/>
          </reference>
          <reference field="0" count="1" selected="0">
            <x v="68"/>
          </reference>
          <reference field="1" count="2">
            <x v="90"/>
            <x v="91"/>
          </reference>
        </references>
      </pivotArea>
    </format>
    <format dxfId="3289">
      <pivotArea collapsedLevelsAreSubtotals="1" fieldPosition="0">
        <references count="2">
          <reference field="4294967294" count="1" selected="0">
            <x v="1"/>
          </reference>
          <reference field="0" count="1">
            <x v="69"/>
          </reference>
        </references>
      </pivotArea>
    </format>
    <format dxfId="3290">
      <pivotArea collapsedLevelsAreSubtotals="1" fieldPosition="0">
        <references count="3">
          <reference field="4294967294" count="1" selected="0">
            <x v="1"/>
          </reference>
          <reference field="0" count="1" selected="0">
            <x v="69"/>
          </reference>
          <reference field="1" count="1">
            <x v="11"/>
          </reference>
        </references>
      </pivotArea>
    </format>
    <format dxfId="3291">
      <pivotArea collapsedLevelsAreSubtotals="1" fieldPosition="0">
        <references count="2">
          <reference field="4294967294" count="1" selected="0">
            <x v="1"/>
          </reference>
          <reference field="0" count="1">
            <x v="70"/>
          </reference>
        </references>
      </pivotArea>
    </format>
    <format dxfId="3292">
      <pivotArea collapsedLevelsAreSubtotals="1" fieldPosition="0">
        <references count="3">
          <reference field="4294967294" count="1" selected="0">
            <x v="1"/>
          </reference>
          <reference field="0" count="1" selected="0">
            <x v="70"/>
          </reference>
          <reference field="1" count="2">
            <x v="92"/>
            <x v="93"/>
          </reference>
        </references>
      </pivotArea>
    </format>
    <format dxfId="3293">
      <pivotArea collapsedLevelsAreSubtotals="1" fieldPosition="0">
        <references count="2">
          <reference field="4294967294" count="1" selected="0">
            <x v="1"/>
          </reference>
          <reference field="0" count="1">
            <x v="71"/>
          </reference>
        </references>
      </pivotArea>
    </format>
    <format dxfId="3294">
      <pivotArea collapsedLevelsAreSubtotals="1" fieldPosition="0">
        <references count="3">
          <reference field="4294967294" count="1" selected="0">
            <x v="1"/>
          </reference>
          <reference field="0" count="1" selected="0">
            <x v="71"/>
          </reference>
          <reference field="1" count="1">
            <x v="94"/>
          </reference>
        </references>
      </pivotArea>
    </format>
    <format dxfId="3295">
      <pivotArea collapsedLevelsAreSubtotals="1" fieldPosition="0">
        <references count="2">
          <reference field="4294967294" count="1" selected="0">
            <x v="1"/>
          </reference>
          <reference field="0" count="1">
            <x v="72"/>
          </reference>
        </references>
      </pivotArea>
    </format>
    <format dxfId="3296">
      <pivotArea collapsedLevelsAreSubtotals="1" fieldPosition="0">
        <references count="3">
          <reference field="4294967294" count="1" selected="0">
            <x v="1"/>
          </reference>
          <reference field="0" count="1" selected="0">
            <x v="72"/>
          </reference>
          <reference field="1" count="1">
            <x v="95"/>
          </reference>
        </references>
      </pivotArea>
    </format>
    <format dxfId="3297">
      <pivotArea collapsedLevelsAreSubtotals="1" fieldPosition="0">
        <references count="2">
          <reference field="4294967294" count="1" selected="0">
            <x v="1"/>
          </reference>
          <reference field="0" count="1">
            <x v="73"/>
          </reference>
        </references>
      </pivotArea>
    </format>
    <format dxfId="3298">
      <pivotArea collapsedLevelsAreSubtotals="1" fieldPosition="0">
        <references count="3">
          <reference field="4294967294" count="1" selected="0">
            <x v="1"/>
          </reference>
          <reference field="0" count="1" selected="0">
            <x v="73"/>
          </reference>
          <reference field="1" count="2">
            <x v="96"/>
            <x v="97"/>
          </reference>
        </references>
      </pivotArea>
    </format>
    <format dxfId="3299">
      <pivotArea collapsedLevelsAreSubtotals="1" fieldPosition="0">
        <references count="2">
          <reference field="4294967294" count="1" selected="0">
            <x v="1"/>
          </reference>
          <reference field="0" count="1">
            <x v="74"/>
          </reference>
        </references>
      </pivotArea>
    </format>
    <format dxfId="3300">
      <pivotArea collapsedLevelsAreSubtotals="1" fieldPosition="0">
        <references count="3">
          <reference field="4294967294" count="1" selected="0">
            <x v="1"/>
          </reference>
          <reference field="0" count="1" selected="0">
            <x v="74"/>
          </reference>
          <reference field="1" count="1">
            <x v="98"/>
          </reference>
        </references>
      </pivotArea>
    </format>
    <format dxfId="3301">
      <pivotArea collapsedLevelsAreSubtotals="1" fieldPosition="0">
        <references count="2">
          <reference field="4294967294" count="1" selected="0">
            <x v="1"/>
          </reference>
          <reference field="0" count="1">
            <x v="75"/>
          </reference>
        </references>
      </pivotArea>
    </format>
    <format dxfId="3302">
      <pivotArea collapsedLevelsAreSubtotals="1" fieldPosition="0">
        <references count="3">
          <reference field="4294967294" count="1" selected="0">
            <x v="1"/>
          </reference>
          <reference field="0" count="1" selected="0">
            <x v="75"/>
          </reference>
          <reference field="1" count="1">
            <x v="3"/>
          </reference>
        </references>
      </pivotArea>
    </format>
    <format dxfId="3303">
      <pivotArea collapsedLevelsAreSubtotals="1" fieldPosition="0">
        <references count="2">
          <reference field="4294967294" count="1" selected="0">
            <x v="1"/>
          </reference>
          <reference field="0" count="1">
            <x v="76"/>
          </reference>
        </references>
      </pivotArea>
    </format>
    <format dxfId="3304">
      <pivotArea collapsedLevelsAreSubtotals="1" fieldPosition="0">
        <references count="3">
          <reference field="4294967294" count="1" selected="0">
            <x v="1"/>
          </reference>
          <reference field="0" count="1" selected="0">
            <x v="76"/>
          </reference>
          <reference field="1" count="1">
            <x v="99"/>
          </reference>
        </references>
      </pivotArea>
    </format>
    <format dxfId="3305">
      <pivotArea collapsedLevelsAreSubtotals="1" fieldPosition="0">
        <references count="2">
          <reference field="4294967294" count="1" selected="0">
            <x v="1"/>
          </reference>
          <reference field="0" count="1">
            <x v="77"/>
          </reference>
        </references>
      </pivotArea>
    </format>
    <format dxfId="3306">
      <pivotArea collapsedLevelsAreSubtotals="1" fieldPosition="0">
        <references count="3">
          <reference field="4294967294" count="1" selected="0">
            <x v="1"/>
          </reference>
          <reference field="0" count="1" selected="0">
            <x v="77"/>
          </reference>
          <reference field="1" count="2">
            <x v="100"/>
            <x v="101"/>
          </reference>
        </references>
      </pivotArea>
    </format>
    <format dxfId="3307">
      <pivotArea collapsedLevelsAreSubtotals="1" fieldPosition="0">
        <references count="2">
          <reference field="4294967294" count="1" selected="0">
            <x v="1"/>
          </reference>
          <reference field="0" count="1">
            <x v="78"/>
          </reference>
        </references>
      </pivotArea>
    </format>
    <format dxfId="3308">
      <pivotArea collapsedLevelsAreSubtotals="1" fieldPosition="0">
        <references count="3">
          <reference field="4294967294" count="1" selected="0">
            <x v="1"/>
          </reference>
          <reference field="0" count="1" selected="0">
            <x v="78"/>
          </reference>
          <reference field="1" count="1">
            <x v="102"/>
          </reference>
        </references>
      </pivotArea>
    </format>
    <format dxfId="3309">
      <pivotArea collapsedLevelsAreSubtotals="1" fieldPosition="0">
        <references count="2">
          <reference field="4294967294" count="1" selected="0">
            <x v="1"/>
          </reference>
          <reference field="0" count="1">
            <x v="79"/>
          </reference>
        </references>
      </pivotArea>
    </format>
    <format dxfId="3310">
      <pivotArea collapsedLevelsAreSubtotals="1" fieldPosition="0">
        <references count="3">
          <reference field="4294967294" count="1" selected="0">
            <x v="1"/>
          </reference>
          <reference field="0" count="1" selected="0">
            <x v="79"/>
          </reference>
          <reference field="1" count="1">
            <x v="103"/>
          </reference>
        </references>
      </pivotArea>
    </format>
    <format dxfId="3311">
      <pivotArea collapsedLevelsAreSubtotals="1" fieldPosition="0">
        <references count="2">
          <reference field="4294967294" count="1" selected="0">
            <x v="1"/>
          </reference>
          <reference field="0" count="1">
            <x v="80"/>
          </reference>
        </references>
      </pivotArea>
    </format>
    <format dxfId="3312">
      <pivotArea collapsedLevelsAreSubtotals="1" fieldPosition="0">
        <references count="3">
          <reference field="4294967294" count="1" selected="0">
            <x v="1"/>
          </reference>
          <reference field="0" count="1" selected="0">
            <x v="80"/>
          </reference>
          <reference field="1" count="1">
            <x v="104"/>
          </reference>
        </references>
      </pivotArea>
    </format>
    <format dxfId="3313">
      <pivotArea collapsedLevelsAreSubtotals="1" fieldPosition="0">
        <references count="2">
          <reference field="4294967294" count="1" selected="0">
            <x v="1"/>
          </reference>
          <reference field="0" count="1">
            <x v="0"/>
          </reference>
        </references>
      </pivotArea>
    </format>
    <format dxfId="3314">
      <pivotArea collapsedLevelsAreSubtotals="1" fieldPosition="0">
        <references count="3">
          <reference field="4294967294" count="1" selected="0">
            <x v="1"/>
          </reference>
          <reference field="0" count="1" selected="0">
            <x v="0"/>
          </reference>
          <reference field="1" count="4">
            <x v="12"/>
            <x v="13"/>
            <x v="14"/>
            <x v="15"/>
          </reference>
        </references>
      </pivotArea>
    </format>
    <format dxfId="3315">
      <pivotArea collapsedLevelsAreSubtotals="1" fieldPosition="0">
        <references count="2">
          <reference field="4294967294" count="1" selected="0">
            <x v="1"/>
          </reference>
          <reference field="0" count="1">
            <x v="1"/>
          </reference>
        </references>
      </pivotArea>
    </format>
    <format dxfId="3316">
      <pivotArea collapsedLevelsAreSubtotals="1" fieldPosition="0">
        <references count="3">
          <reference field="4294967294" count="1" selected="0">
            <x v="1"/>
          </reference>
          <reference field="0" count="1" selected="0">
            <x v="1"/>
          </reference>
          <reference field="1" count="2">
            <x v="16"/>
            <x v="17"/>
          </reference>
        </references>
      </pivotArea>
    </format>
    <format dxfId="3317">
      <pivotArea collapsedLevelsAreSubtotals="1" fieldPosition="0">
        <references count="2">
          <reference field="4294967294" count="1" selected="0">
            <x v="1"/>
          </reference>
          <reference field="0" count="1">
            <x v="2"/>
          </reference>
        </references>
      </pivotArea>
    </format>
    <format dxfId="3318">
      <pivotArea collapsedLevelsAreSubtotals="1" fieldPosition="0">
        <references count="3">
          <reference field="4294967294" count="1" selected="0">
            <x v="1"/>
          </reference>
          <reference field="0" count="1" selected="0">
            <x v="2"/>
          </reference>
          <reference field="1" count="1">
            <x v="18"/>
          </reference>
        </references>
      </pivotArea>
    </format>
    <format dxfId="3319">
      <pivotArea collapsedLevelsAreSubtotals="1" fieldPosition="0">
        <references count="2">
          <reference field="4294967294" count="1" selected="0">
            <x v="1"/>
          </reference>
          <reference field="0" count="1">
            <x v="3"/>
          </reference>
        </references>
      </pivotArea>
    </format>
    <format dxfId="3320">
      <pivotArea collapsedLevelsAreSubtotals="1" fieldPosition="0">
        <references count="3">
          <reference field="4294967294" count="1" selected="0">
            <x v="1"/>
          </reference>
          <reference field="0" count="1" selected="0">
            <x v="3"/>
          </reference>
          <reference field="1" count="1">
            <x v="19"/>
          </reference>
        </references>
      </pivotArea>
    </format>
    <format dxfId="3321">
      <pivotArea collapsedLevelsAreSubtotals="1" fieldPosition="0">
        <references count="2">
          <reference field="4294967294" count="1" selected="0">
            <x v="1"/>
          </reference>
          <reference field="0" count="1">
            <x v="4"/>
          </reference>
        </references>
      </pivotArea>
    </format>
    <format dxfId="3322">
      <pivotArea collapsedLevelsAreSubtotals="1" fieldPosition="0">
        <references count="3">
          <reference field="4294967294" count="1" selected="0">
            <x v="1"/>
          </reference>
          <reference field="0" count="1" selected="0">
            <x v="4"/>
          </reference>
          <reference field="1" count="1">
            <x v="20"/>
          </reference>
        </references>
      </pivotArea>
    </format>
    <format dxfId="3323">
      <pivotArea collapsedLevelsAreSubtotals="1" fieldPosition="0">
        <references count="2">
          <reference field="4294967294" count="1" selected="0">
            <x v="1"/>
          </reference>
          <reference field="0" count="1">
            <x v="5"/>
          </reference>
        </references>
      </pivotArea>
    </format>
    <format dxfId="3324">
      <pivotArea collapsedLevelsAreSubtotals="1" fieldPosition="0">
        <references count="3">
          <reference field="4294967294" count="1" selected="0">
            <x v="1"/>
          </reference>
          <reference field="0" count="1" selected="0">
            <x v="5"/>
          </reference>
          <reference field="1" count="1">
            <x v="21"/>
          </reference>
        </references>
      </pivotArea>
    </format>
    <format dxfId="3325">
      <pivotArea collapsedLevelsAreSubtotals="1" fieldPosition="0">
        <references count="2">
          <reference field="4294967294" count="1" selected="0">
            <x v="1"/>
          </reference>
          <reference field="0" count="1">
            <x v="6"/>
          </reference>
        </references>
      </pivotArea>
    </format>
    <format dxfId="3326">
      <pivotArea collapsedLevelsAreSubtotals="1" fieldPosition="0">
        <references count="3">
          <reference field="4294967294" count="1" selected="0">
            <x v="1"/>
          </reference>
          <reference field="0" count="1" selected="0">
            <x v="6"/>
          </reference>
          <reference field="1" count="1">
            <x v="22"/>
          </reference>
        </references>
      </pivotArea>
    </format>
    <format dxfId="3327">
      <pivotArea collapsedLevelsAreSubtotals="1" fieldPosition="0">
        <references count="2">
          <reference field="4294967294" count="1" selected="0">
            <x v="1"/>
          </reference>
          <reference field="0" count="1">
            <x v="7"/>
          </reference>
        </references>
      </pivotArea>
    </format>
    <format dxfId="3328">
      <pivotArea collapsedLevelsAreSubtotals="1" fieldPosition="0">
        <references count="3">
          <reference field="4294967294" count="1" selected="0">
            <x v="1"/>
          </reference>
          <reference field="0" count="1" selected="0">
            <x v="7"/>
          </reference>
          <reference field="1" count="1">
            <x v="23"/>
          </reference>
        </references>
      </pivotArea>
    </format>
    <format dxfId="3329">
      <pivotArea collapsedLevelsAreSubtotals="1" fieldPosition="0">
        <references count="2">
          <reference field="4294967294" count="1" selected="0">
            <x v="1"/>
          </reference>
          <reference field="0" count="1">
            <x v="8"/>
          </reference>
        </references>
      </pivotArea>
    </format>
    <format dxfId="3330">
      <pivotArea collapsedLevelsAreSubtotals="1" fieldPosition="0">
        <references count="3">
          <reference field="4294967294" count="1" selected="0">
            <x v="1"/>
          </reference>
          <reference field="0" count="1" selected="0">
            <x v="8"/>
          </reference>
          <reference field="1" count="1">
            <x v="24"/>
          </reference>
        </references>
      </pivotArea>
    </format>
    <format dxfId="3331">
      <pivotArea collapsedLevelsAreSubtotals="1" fieldPosition="0">
        <references count="2">
          <reference field="4294967294" count="1" selected="0">
            <x v="1"/>
          </reference>
          <reference field="0" count="1">
            <x v="9"/>
          </reference>
        </references>
      </pivotArea>
    </format>
    <format dxfId="3332">
      <pivotArea collapsedLevelsAreSubtotals="1" fieldPosition="0">
        <references count="3">
          <reference field="4294967294" count="1" selected="0">
            <x v="1"/>
          </reference>
          <reference field="0" count="1" selected="0">
            <x v="9"/>
          </reference>
          <reference field="1" count="2">
            <x v="25"/>
            <x v="26"/>
          </reference>
        </references>
      </pivotArea>
    </format>
    <format dxfId="3333">
      <pivotArea collapsedLevelsAreSubtotals="1" fieldPosition="0">
        <references count="2">
          <reference field="4294967294" count="1" selected="0">
            <x v="1"/>
          </reference>
          <reference field="0" count="1">
            <x v="10"/>
          </reference>
        </references>
      </pivotArea>
    </format>
    <format dxfId="3334">
      <pivotArea collapsedLevelsAreSubtotals="1" fieldPosition="0">
        <references count="3">
          <reference field="4294967294" count="1" selected="0">
            <x v="1"/>
          </reference>
          <reference field="0" count="1" selected="0">
            <x v="10"/>
          </reference>
          <reference field="1" count="1">
            <x v="27"/>
          </reference>
        </references>
      </pivotArea>
    </format>
    <format dxfId="3335">
      <pivotArea collapsedLevelsAreSubtotals="1" fieldPosition="0">
        <references count="2">
          <reference field="4294967294" count="1" selected="0">
            <x v="1"/>
          </reference>
          <reference field="0" count="1">
            <x v="11"/>
          </reference>
        </references>
      </pivotArea>
    </format>
    <format dxfId="3336">
      <pivotArea collapsedLevelsAreSubtotals="1" fieldPosition="0">
        <references count="3">
          <reference field="4294967294" count="1" selected="0">
            <x v="1"/>
          </reference>
          <reference field="0" count="1" selected="0">
            <x v="11"/>
          </reference>
          <reference field="1" count="1">
            <x v="28"/>
          </reference>
        </references>
      </pivotArea>
    </format>
    <format dxfId="3337">
      <pivotArea collapsedLevelsAreSubtotals="1" fieldPosition="0">
        <references count="2">
          <reference field="4294967294" count="1" selected="0">
            <x v="1"/>
          </reference>
          <reference field="0" count="1">
            <x v="12"/>
          </reference>
        </references>
      </pivotArea>
    </format>
    <format dxfId="3338">
      <pivotArea collapsedLevelsAreSubtotals="1" fieldPosition="0">
        <references count="3">
          <reference field="4294967294" count="1" selected="0">
            <x v="1"/>
          </reference>
          <reference field="0" count="1" selected="0">
            <x v="12"/>
          </reference>
          <reference field="1" count="1">
            <x v="29"/>
          </reference>
        </references>
      </pivotArea>
    </format>
    <format dxfId="3339">
      <pivotArea collapsedLevelsAreSubtotals="1" fieldPosition="0">
        <references count="2">
          <reference field="4294967294" count="1" selected="0">
            <x v="1"/>
          </reference>
          <reference field="0" count="1">
            <x v="13"/>
          </reference>
        </references>
      </pivotArea>
    </format>
    <format dxfId="3340">
      <pivotArea collapsedLevelsAreSubtotals="1" fieldPosition="0">
        <references count="3">
          <reference field="4294967294" count="1" selected="0">
            <x v="1"/>
          </reference>
          <reference field="0" count="1" selected="0">
            <x v="13"/>
          </reference>
          <reference field="1" count="1">
            <x v="30"/>
          </reference>
        </references>
      </pivotArea>
    </format>
    <format dxfId="3341">
      <pivotArea collapsedLevelsAreSubtotals="1" fieldPosition="0">
        <references count="2">
          <reference field="4294967294" count="1" selected="0">
            <x v="1"/>
          </reference>
          <reference field="0" count="1">
            <x v="14"/>
          </reference>
        </references>
      </pivotArea>
    </format>
    <format dxfId="3342">
      <pivotArea collapsedLevelsAreSubtotals="1" fieldPosition="0">
        <references count="3">
          <reference field="4294967294" count="1" selected="0">
            <x v="1"/>
          </reference>
          <reference field="0" count="1" selected="0">
            <x v="14"/>
          </reference>
          <reference field="1" count="2">
            <x v="31"/>
            <x v="32"/>
          </reference>
        </references>
      </pivotArea>
    </format>
    <format dxfId="3343">
      <pivotArea collapsedLevelsAreSubtotals="1" fieldPosition="0">
        <references count="2">
          <reference field="4294967294" count="1" selected="0">
            <x v="1"/>
          </reference>
          <reference field="0" count="1">
            <x v="15"/>
          </reference>
        </references>
      </pivotArea>
    </format>
    <format dxfId="3344">
      <pivotArea collapsedLevelsAreSubtotals="1" fieldPosition="0">
        <references count="3">
          <reference field="4294967294" count="1" selected="0">
            <x v="1"/>
          </reference>
          <reference field="0" count="1" selected="0">
            <x v="15"/>
          </reference>
          <reference field="1" count="1">
            <x v="33"/>
          </reference>
        </references>
      </pivotArea>
    </format>
    <format dxfId="3345">
      <pivotArea collapsedLevelsAreSubtotals="1" fieldPosition="0">
        <references count="2">
          <reference field="4294967294" count="1" selected="0">
            <x v="1"/>
          </reference>
          <reference field="0" count="1">
            <x v="16"/>
          </reference>
        </references>
      </pivotArea>
    </format>
    <format dxfId="3346">
      <pivotArea collapsedLevelsAreSubtotals="1" fieldPosition="0">
        <references count="3">
          <reference field="4294967294" count="1" selected="0">
            <x v="1"/>
          </reference>
          <reference field="0" count="1" selected="0">
            <x v="16"/>
          </reference>
          <reference field="1" count="1">
            <x v="34"/>
          </reference>
        </references>
      </pivotArea>
    </format>
    <format dxfId="3347">
      <pivotArea collapsedLevelsAreSubtotals="1" fieldPosition="0">
        <references count="2">
          <reference field="4294967294" count="1" selected="0">
            <x v="1"/>
          </reference>
          <reference field="0" count="1">
            <x v="17"/>
          </reference>
        </references>
      </pivotArea>
    </format>
    <format dxfId="3348">
      <pivotArea collapsedLevelsAreSubtotals="1" fieldPosition="0">
        <references count="3">
          <reference field="4294967294" count="1" selected="0">
            <x v="1"/>
          </reference>
          <reference field="0" count="1" selected="0">
            <x v="17"/>
          </reference>
          <reference field="1" count="1">
            <x v="35"/>
          </reference>
        </references>
      </pivotArea>
    </format>
    <format dxfId="3349">
      <pivotArea collapsedLevelsAreSubtotals="1" fieldPosition="0">
        <references count="2">
          <reference field="4294967294" count="1" selected="0">
            <x v="1"/>
          </reference>
          <reference field="0" count="1">
            <x v="18"/>
          </reference>
        </references>
      </pivotArea>
    </format>
    <format dxfId="3350">
      <pivotArea collapsedLevelsAreSubtotals="1" fieldPosition="0">
        <references count="3">
          <reference field="4294967294" count="1" selected="0">
            <x v="1"/>
          </reference>
          <reference field="0" count="1" selected="0">
            <x v="18"/>
          </reference>
          <reference field="1" count="1">
            <x v="36"/>
          </reference>
        </references>
      </pivotArea>
    </format>
    <format dxfId="3351">
      <pivotArea collapsedLevelsAreSubtotals="1" fieldPosition="0">
        <references count="2">
          <reference field="4294967294" count="1" selected="0">
            <x v="1"/>
          </reference>
          <reference field="0" count="1">
            <x v="19"/>
          </reference>
        </references>
      </pivotArea>
    </format>
    <format dxfId="3352">
      <pivotArea collapsedLevelsAreSubtotals="1" fieldPosition="0">
        <references count="3">
          <reference field="4294967294" count="1" selected="0">
            <x v="1"/>
          </reference>
          <reference field="0" count="1" selected="0">
            <x v="19"/>
          </reference>
          <reference field="1" count="1">
            <x v="37"/>
          </reference>
        </references>
      </pivotArea>
    </format>
    <format dxfId="3353">
      <pivotArea collapsedLevelsAreSubtotals="1" fieldPosition="0">
        <references count="2">
          <reference field="4294967294" count="1" selected="0">
            <x v="1"/>
          </reference>
          <reference field="0" count="1">
            <x v="20"/>
          </reference>
        </references>
      </pivotArea>
    </format>
    <format dxfId="3354">
      <pivotArea collapsedLevelsAreSubtotals="1" fieldPosition="0">
        <references count="3">
          <reference field="4294967294" count="1" selected="0">
            <x v="1"/>
          </reference>
          <reference field="0" count="1" selected="0">
            <x v="20"/>
          </reference>
          <reference field="1" count="1">
            <x v="38"/>
          </reference>
        </references>
      </pivotArea>
    </format>
    <format dxfId="3355">
      <pivotArea collapsedLevelsAreSubtotals="1" fieldPosition="0">
        <references count="2">
          <reference field="4294967294" count="1" selected="0">
            <x v="1"/>
          </reference>
          <reference field="0" count="1">
            <x v="21"/>
          </reference>
        </references>
      </pivotArea>
    </format>
    <format dxfId="3356">
      <pivotArea collapsedLevelsAreSubtotals="1" fieldPosition="0">
        <references count="3">
          <reference field="4294967294" count="1" selected="0">
            <x v="1"/>
          </reference>
          <reference field="0" count="1" selected="0">
            <x v="21"/>
          </reference>
          <reference field="1" count="1">
            <x v="39"/>
          </reference>
        </references>
      </pivotArea>
    </format>
    <format dxfId="3357">
      <pivotArea collapsedLevelsAreSubtotals="1" fieldPosition="0">
        <references count="2">
          <reference field="4294967294" count="1" selected="0">
            <x v="1"/>
          </reference>
          <reference field="0" count="1">
            <x v="22"/>
          </reference>
        </references>
      </pivotArea>
    </format>
    <format dxfId="3358">
      <pivotArea collapsedLevelsAreSubtotals="1" fieldPosition="0">
        <references count="3">
          <reference field="4294967294" count="1" selected="0">
            <x v="1"/>
          </reference>
          <reference field="0" count="1" selected="0">
            <x v="22"/>
          </reference>
          <reference field="1" count="1">
            <x v="40"/>
          </reference>
        </references>
      </pivotArea>
    </format>
    <format dxfId="3359">
      <pivotArea collapsedLevelsAreSubtotals="1" fieldPosition="0">
        <references count="2">
          <reference field="4294967294" count="1" selected="0">
            <x v="1"/>
          </reference>
          <reference field="0" count="1">
            <x v="23"/>
          </reference>
        </references>
      </pivotArea>
    </format>
    <format dxfId="3360">
      <pivotArea collapsedLevelsAreSubtotals="1" fieldPosition="0">
        <references count="3">
          <reference field="4294967294" count="1" selected="0">
            <x v="1"/>
          </reference>
          <reference field="0" count="1" selected="0">
            <x v="23"/>
          </reference>
          <reference field="1" count="3">
            <x v="41"/>
            <x v="42"/>
            <x v="43"/>
          </reference>
        </references>
      </pivotArea>
    </format>
    <format dxfId="3361">
      <pivotArea collapsedLevelsAreSubtotals="1" fieldPosition="0">
        <references count="2">
          <reference field="4294967294" count="1" selected="0">
            <x v="1"/>
          </reference>
          <reference field="0" count="1">
            <x v="24"/>
          </reference>
        </references>
      </pivotArea>
    </format>
    <format dxfId="3362">
      <pivotArea collapsedLevelsAreSubtotals="1" fieldPosition="0">
        <references count="3">
          <reference field="4294967294" count="1" selected="0">
            <x v="1"/>
          </reference>
          <reference field="0" count="1" selected="0">
            <x v="24"/>
          </reference>
          <reference field="1" count="3">
            <x v="44"/>
            <x v="45"/>
            <x v="46"/>
          </reference>
        </references>
      </pivotArea>
    </format>
    <format dxfId="3363">
      <pivotArea collapsedLevelsAreSubtotals="1" fieldPosition="0">
        <references count="2">
          <reference field="4294967294" count="1" selected="0">
            <x v="1"/>
          </reference>
          <reference field="0" count="1">
            <x v="25"/>
          </reference>
        </references>
      </pivotArea>
    </format>
    <format dxfId="3364">
      <pivotArea collapsedLevelsAreSubtotals="1" fieldPosition="0">
        <references count="3">
          <reference field="4294967294" count="1" selected="0">
            <x v="1"/>
          </reference>
          <reference field="0" count="1" selected="0">
            <x v="25"/>
          </reference>
          <reference field="1" count="2">
            <x v="47"/>
            <x v="48"/>
          </reference>
        </references>
      </pivotArea>
    </format>
    <format dxfId="3365">
      <pivotArea collapsedLevelsAreSubtotals="1" fieldPosition="0">
        <references count="2">
          <reference field="4294967294" count="1" selected="0">
            <x v="1"/>
          </reference>
          <reference field="0" count="1">
            <x v="26"/>
          </reference>
        </references>
      </pivotArea>
    </format>
    <format dxfId="3366">
      <pivotArea collapsedLevelsAreSubtotals="1" fieldPosition="0">
        <references count="3">
          <reference field="4294967294" count="1" selected="0">
            <x v="1"/>
          </reference>
          <reference field="0" count="1" selected="0">
            <x v="26"/>
          </reference>
          <reference field="1" count="2">
            <x v="49"/>
            <x v="50"/>
          </reference>
        </references>
      </pivotArea>
    </format>
    <format dxfId="3367">
      <pivotArea collapsedLevelsAreSubtotals="1" fieldPosition="0">
        <references count="2">
          <reference field="4294967294" count="1" selected="0">
            <x v="1"/>
          </reference>
          <reference field="0" count="1">
            <x v="27"/>
          </reference>
        </references>
      </pivotArea>
    </format>
    <format dxfId="3368">
      <pivotArea collapsedLevelsAreSubtotals="1" fieldPosition="0">
        <references count="3">
          <reference field="4294967294" count="1" selected="0">
            <x v="1"/>
          </reference>
          <reference field="0" count="1" selected="0">
            <x v="27"/>
          </reference>
          <reference field="1" count="1">
            <x v="51"/>
          </reference>
        </references>
      </pivotArea>
    </format>
    <format dxfId="3369">
      <pivotArea collapsedLevelsAreSubtotals="1" fieldPosition="0">
        <references count="2">
          <reference field="4294967294" count="1" selected="0">
            <x v="1"/>
          </reference>
          <reference field="0" count="1">
            <x v="28"/>
          </reference>
        </references>
      </pivotArea>
    </format>
    <format dxfId="3370">
      <pivotArea collapsedLevelsAreSubtotals="1" fieldPosition="0">
        <references count="3">
          <reference field="4294967294" count="1" selected="0">
            <x v="1"/>
          </reference>
          <reference field="0" count="1" selected="0">
            <x v="28"/>
          </reference>
          <reference field="1" count="1">
            <x v="52"/>
          </reference>
        </references>
      </pivotArea>
    </format>
    <format dxfId="3371">
      <pivotArea collapsedLevelsAreSubtotals="1" fieldPosition="0">
        <references count="2">
          <reference field="4294967294" count="1" selected="0">
            <x v="1"/>
          </reference>
          <reference field="0" count="1">
            <x v="29"/>
          </reference>
        </references>
      </pivotArea>
    </format>
    <format dxfId="3372">
      <pivotArea collapsedLevelsAreSubtotals="1" fieldPosition="0">
        <references count="3">
          <reference field="4294967294" count="1" selected="0">
            <x v="1"/>
          </reference>
          <reference field="0" count="1" selected="0">
            <x v="29"/>
          </reference>
          <reference field="1" count="1">
            <x v="53"/>
          </reference>
        </references>
      </pivotArea>
    </format>
    <format dxfId="3373">
      <pivotArea collapsedLevelsAreSubtotals="1" fieldPosition="0">
        <references count="2">
          <reference field="4294967294" count="1" selected="0">
            <x v="1"/>
          </reference>
          <reference field="0" count="1">
            <x v="30"/>
          </reference>
        </references>
      </pivotArea>
    </format>
    <format dxfId="3374">
      <pivotArea collapsedLevelsAreSubtotals="1" fieldPosition="0">
        <references count="3">
          <reference field="4294967294" count="1" selected="0">
            <x v="1"/>
          </reference>
          <reference field="0" count="1" selected="0">
            <x v="30"/>
          </reference>
          <reference field="1" count="1">
            <x v="54"/>
          </reference>
        </references>
      </pivotArea>
    </format>
    <format dxfId="3375">
      <pivotArea collapsedLevelsAreSubtotals="1" fieldPosition="0">
        <references count="2">
          <reference field="4294967294" count="1" selected="0">
            <x v="1"/>
          </reference>
          <reference field="0" count="1">
            <x v="31"/>
          </reference>
        </references>
      </pivotArea>
    </format>
    <format dxfId="3376">
      <pivotArea collapsedLevelsAreSubtotals="1" fieldPosition="0">
        <references count="3">
          <reference field="4294967294" count="1" selected="0">
            <x v="1"/>
          </reference>
          <reference field="0" count="1" selected="0">
            <x v="31"/>
          </reference>
          <reference field="1" count="1">
            <x v="55"/>
          </reference>
        </references>
      </pivotArea>
    </format>
    <format dxfId="3377">
      <pivotArea collapsedLevelsAreSubtotals="1" fieldPosition="0">
        <references count="2">
          <reference field="4294967294" count="1" selected="0">
            <x v="1"/>
          </reference>
          <reference field="0" count="1">
            <x v="32"/>
          </reference>
        </references>
      </pivotArea>
    </format>
    <format dxfId="3378">
      <pivotArea collapsedLevelsAreSubtotals="1" fieldPosition="0">
        <references count="3">
          <reference field="4294967294" count="1" selected="0">
            <x v="1"/>
          </reference>
          <reference field="0" count="1" selected="0">
            <x v="32"/>
          </reference>
          <reference field="1" count="1">
            <x v="56"/>
          </reference>
        </references>
      </pivotArea>
    </format>
    <format dxfId="3379">
      <pivotArea collapsedLevelsAreSubtotals="1" fieldPosition="0">
        <references count="2">
          <reference field="4294967294" count="1" selected="0">
            <x v="1"/>
          </reference>
          <reference field="0" count="1">
            <x v="33"/>
          </reference>
        </references>
      </pivotArea>
    </format>
    <format dxfId="3380">
      <pivotArea collapsedLevelsAreSubtotals="1" fieldPosition="0">
        <references count="3">
          <reference field="4294967294" count="1" selected="0">
            <x v="1"/>
          </reference>
          <reference field="0" count="1" selected="0">
            <x v="33"/>
          </reference>
          <reference field="1" count="1">
            <x v="57"/>
          </reference>
        </references>
      </pivotArea>
    </format>
    <format dxfId="3381">
      <pivotArea collapsedLevelsAreSubtotals="1" fieldPosition="0">
        <references count="2">
          <reference field="4294967294" count="1" selected="0">
            <x v="1"/>
          </reference>
          <reference field="0" count="1">
            <x v="34"/>
          </reference>
        </references>
      </pivotArea>
    </format>
    <format dxfId="3382">
      <pivotArea collapsedLevelsAreSubtotals="1" fieldPosition="0">
        <references count="3">
          <reference field="4294967294" count="1" selected="0">
            <x v="1"/>
          </reference>
          <reference field="0" count="1" selected="0">
            <x v="34"/>
          </reference>
          <reference field="1" count="1">
            <x v="9"/>
          </reference>
        </references>
      </pivotArea>
    </format>
    <format dxfId="3383">
      <pivotArea collapsedLevelsAreSubtotals="1" fieldPosition="0">
        <references count="2">
          <reference field="4294967294" count="1" selected="0">
            <x v="1"/>
          </reference>
          <reference field="0" count="1">
            <x v="35"/>
          </reference>
        </references>
      </pivotArea>
    </format>
    <format dxfId="3384">
      <pivotArea collapsedLevelsAreSubtotals="1" fieldPosition="0">
        <references count="3">
          <reference field="4294967294" count="1" selected="0">
            <x v="1"/>
          </reference>
          <reference field="0" count="1" selected="0">
            <x v="35"/>
          </reference>
          <reference field="1" count="1">
            <x v="58"/>
          </reference>
        </references>
      </pivotArea>
    </format>
    <format dxfId="3385">
      <pivotArea collapsedLevelsAreSubtotals="1" fieldPosition="0">
        <references count="2">
          <reference field="4294967294" count="1" selected="0">
            <x v="1"/>
          </reference>
          <reference field="0" count="1">
            <x v="36"/>
          </reference>
        </references>
      </pivotArea>
    </format>
    <format dxfId="3386">
      <pivotArea collapsedLevelsAreSubtotals="1" fieldPosition="0">
        <references count="3">
          <reference field="4294967294" count="1" selected="0">
            <x v="1"/>
          </reference>
          <reference field="0" count="1" selected="0">
            <x v="36"/>
          </reference>
          <reference field="1" count="2">
            <x v="59"/>
            <x v="60"/>
          </reference>
        </references>
      </pivotArea>
    </format>
    <format dxfId="3387">
      <pivotArea collapsedLevelsAreSubtotals="1" fieldPosition="0">
        <references count="2">
          <reference field="4294967294" count="1" selected="0">
            <x v="1"/>
          </reference>
          <reference field="0" count="1">
            <x v="37"/>
          </reference>
        </references>
      </pivotArea>
    </format>
    <format dxfId="3388">
      <pivotArea collapsedLevelsAreSubtotals="1" fieldPosition="0">
        <references count="3">
          <reference field="4294967294" count="1" selected="0">
            <x v="1"/>
          </reference>
          <reference field="0" count="1" selected="0">
            <x v="37"/>
          </reference>
          <reference field="1" count="2">
            <x v="0"/>
            <x v="1"/>
          </reference>
        </references>
      </pivotArea>
    </format>
    <format dxfId="3389">
      <pivotArea collapsedLevelsAreSubtotals="1" fieldPosition="0">
        <references count="2">
          <reference field="4294967294" count="1" selected="0">
            <x v="1"/>
          </reference>
          <reference field="0" count="1">
            <x v="38"/>
          </reference>
        </references>
      </pivotArea>
    </format>
    <format dxfId="3390">
      <pivotArea collapsedLevelsAreSubtotals="1" fieldPosition="0">
        <references count="3">
          <reference field="4294967294" count="1" selected="0">
            <x v="1"/>
          </reference>
          <reference field="0" count="1" selected="0">
            <x v="38"/>
          </reference>
          <reference field="1" count="2">
            <x v="61"/>
            <x v="62"/>
          </reference>
        </references>
      </pivotArea>
    </format>
    <format dxfId="3391">
      <pivotArea collapsedLevelsAreSubtotals="1" fieldPosition="0">
        <references count="2">
          <reference field="4294967294" count="1" selected="0">
            <x v="1"/>
          </reference>
          <reference field="0" count="1">
            <x v="39"/>
          </reference>
        </references>
      </pivotArea>
    </format>
    <format dxfId="3392">
      <pivotArea collapsedLevelsAreSubtotals="1" fieldPosition="0">
        <references count="3">
          <reference field="4294967294" count="1" selected="0">
            <x v="1"/>
          </reference>
          <reference field="0" count="1" selected="0">
            <x v="39"/>
          </reference>
          <reference field="1" count="1">
            <x v="10"/>
          </reference>
        </references>
      </pivotArea>
    </format>
    <format dxfId="3393">
      <pivotArea collapsedLevelsAreSubtotals="1" fieldPosition="0">
        <references count="2">
          <reference field="4294967294" count="1" selected="0">
            <x v="1"/>
          </reference>
          <reference field="0" count="1">
            <x v="40"/>
          </reference>
        </references>
      </pivotArea>
    </format>
    <format dxfId="3394">
      <pivotArea collapsedLevelsAreSubtotals="1" fieldPosition="0">
        <references count="3">
          <reference field="4294967294" count="1" selected="0">
            <x v="1"/>
          </reference>
          <reference field="0" count="1" selected="0">
            <x v="40"/>
          </reference>
          <reference field="1" count="1">
            <x v="63"/>
          </reference>
        </references>
      </pivotArea>
    </format>
    <format dxfId="3395">
      <pivotArea collapsedLevelsAreSubtotals="1" fieldPosition="0">
        <references count="2">
          <reference field="4294967294" count="1" selected="0">
            <x v="1"/>
          </reference>
          <reference field="0" count="1">
            <x v="41"/>
          </reference>
        </references>
      </pivotArea>
    </format>
    <format dxfId="3396">
      <pivotArea collapsedLevelsAreSubtotals="1" fieldPosition="0">
        <references count="3">
          <reference field="4294967294" count="1" selected="0">
            <x v="1"/>
          </reference>
          <reference field="0" count="1" selected="0">
            <x v="41"/>
          </reference>
          <reference field="1" count="1">
            <x v="64"/>
          </reference>
        </references>
      </pivotArea>
    </format>
    <format dxfId="3397">
      <pivotArea collapsedLevelsAreSubtotals="1" fieldPosition="0">
        <references count="2">
          <reference field="4294967294" count="1" selected="0">
            <x v="1"/>
          </reference>
          <reference field="0" count="1">
            <x v="42"/>
          </reference>
        </references>
      </pivotArea>
    </format>
    <format dxfId="3398">
      <pivotArea collapsedLevelsAreSubtotals="1" fieldPosition="0">
        <references count="3">
          <reference field="4294967294" count="1" selected="0">
            <x v="1"/>
          </reference>
          <reference field="0" count="1" selected="0">
            <x v="42"/>
          </reference>
          <reference field="1" count="1">
            <x v="4"/>
          </reference>
        </references>
      </pivotArea>
    </format>
    <format dxfId="3399">
      <pivotArea collapsedLevelsAreSubtotals="1" fieldPosition="0">
        <references count="2">
          <reference field="4294967294" count="1" selected="0">
            <x v="1"/>
          </reference>
          <reference field="0" count="1">
            <x v="43"/>
          </reference>
        </references>
      </pivotArea>
    </format>
    <format dxfId="3400">
      <pivotArea collapsedLevelsAreSubtotals="1" fieldPosition="0">
        <references count="3">
          <reference field="4294967294" count="1" selected="0">
            <x v="1"/>
          </reference>
          <reference field="0" count="1" selected="0">
            <x v="43"/>
          </reference>
          <reference field="1" count="2">
            <x v="65"/>
            <x v="66"/>
          </reference>
        </references>
      </pivotArea>
    </format>
    <format dxfId="3401">
      <pivotArea collapsedLevelsAreSubtotals="1" fieldPosition="0">
        <references count="2">
          <reference field="4294967294" count="1" selected="0">
            <x v="1"/>
          </reference>
          <reference field="0" count="1">
            <x v="44"/>
          </reference>
        </references>
      </pivotArea>
    </format>
    <format dxfId="3402">
      <pivotArea collapsedLevelsAreSubtotals="1" fieldPosition="0">
        <references count="3">
          <reference field="4294967294" count="1" selected="0">
            <x v="1"/>
          </reference>
          <reference field="0" count="1" selected="0">
            <x v="44"/>
          </reference>
          <reference field="1" count="1">
            <x v="67"/>
          </reference>
        </references>
      </pivotArea>
    </format>
    <format dxfId="3403">
      <pivotArea collapsedLevelsAreSubtotals="1" fieldPosition="0">
        <references count="2">
          <reference field="4294967294" count="1" selected="0">
            <x v="1"/>
          </reference>
          <reference field="0" count="1">
            <x v="45"/>
          </reference>
        </references>
      </pivotArea>
    </format>
    <format dxfId="3404">
      <pivotArea collapsedLevelsAreSubtotals="1" fieldPosition="0">
        <references count="3">
          <reference field="4294967294" count="1" selected="0">
            <x v="1"/>
          </reference>
          <reference field="0" count="1" selected="0">
            <x v="45"/>
          </reference>
          <reference field="1" count="1">
            <x v="68"/>
          </reference>
        </references>
      </pivotArea>
    </format>
    <format dxfId="3405">
      <pivotArea collapsedLevelsAreSubtotals="1" fieldPosition="0">
        <references count="2">
          <reference field="4294967294" count="1" selected="0">
            <x v="1"/>
          </reference>
          <reference field="0" count="1">
            <x v="46"/>
          </reference>
        </references>
      </pivotArea>
    </format>
    <format dxfId="3406">
      <pivotArea collapsedLevelsAreSubtotals="1" fieldPosition="0">
        <references count="3">
          <reference field="4294967294" count="1" selected="0">
            <x v="1"/>
          </reference>
          <reference field="0" count="1" selected="0">
            <x v="46"/>
          </reference>
          <reference field="1" count="1">
            <x v="69"/>
          </reference>
        </references>
      </pivotArea>
    </format>
    <format dxfId="3407">
      <pivotArea collapsedLevelsAreSubtotals="1" fieldPosition="0">
        <references count="2">
          <reference field="4294967294" count="1" selected="0">
            <x v="1"/>
          </reference>
          <reference field="0" count="1">
            <x v="47"/>
          </reference>
        </references>
      </pivotArea>
    </format>
    <format dxfId="3408">
      <pivotArea collapsedLevelsAreSubtotals="1" fieldPosition="0">
        <references count="3">
          <reference field="4294967294" count="1" selected="0">
            <x v="1"/>
          </reference>
          <reference field="0" count="1" selected="0">
            <x v="47"/>
          </reference>
          <reference field="1" count="1">
            <x v="70"/>
          </reference>
        </references>
      </pivotArea>
    </format>
    <format dxfId="3409">
      <pivotArea collapsedLevelsAreSubtotals="1" fieldPosition="0">
        <references count="2">
          <reference field="4294967294" count="1" selected="0">
            <x v="1"/>
          </reference>
          <reference field="0" count="1">
            <x v="48"/>
          </reference>
        </references>
      </pivotArea>
    </format>
    <format dxfId="3410">
      <pivotArea collapsedLevelsAreSubtotals="1" fieldPosition="0">
        <references count="3">
          <reference field="4294967294" count="1" selected="0">
            <x v="1"/>
          </reference>
          <reference field="0" count="1" selected="0">
            <x v="48"/>
          </reference>
          <reference field="1" count="1">
            <x v="71"/>
          </reference>
        </references>
      </pivotArea>
    </format>
    <format dxfId="3411">
      <pivotArea collapsedLevelsAreSubtotals="1" fieldPosition="0">
        <references count="2">
          <reference field="4294967294" count="1" selected="0">
            <x v="1"/>
          </reference>
          <reference field="0" count="1">
            <x v="49"/>
          </reference>
        </references>
      </pivotArea>
    </format>
    <format dxfId="3412">
      <pivotArea collapsedLevelsAreSubtotals="1" fieldPosition="0">
        <references count="3">
          <reference field="4294967294" count="1" selected="0">
            <x v="1"/>
          </reference>
          <reference field="0" count="1" selected="0">
            <x v="49"/>
          </reference>
          <reference field="1" count="1">
            <x v="72"/>
          </reference>
        </references>
      </pivotArea>
    </format>
    <format dxfId="3413">
      <pivotArea collapsedLevelsAreSubtotals="1" fieldPosition="0">
        <references count="2">
          <reference field="4294967294" count="1" selected="0">
            <x v="1"/>
          </reference>
          <reference field="0" count="1">
            <x v="50"/>
          </reference>
        </references>
      </pivotArea>
    </format>
    <format dxfId="3414">
      <pivotArea collapsedLevelsAreSubtotals="1" fieldPosition="0">
        <references count="3">
          <reference field="4294967294" count="1" selected="0">
            <x v="1"/>
          </reference>
          <reference field="0" count="1" selected="0">
            <x v="50"/>
          </reference>
          <reference field="1" count="1">
            <x v="73"/>
          </reference>
        </references>
      </pivotArea>
    </format>
    <format dxfId="3415">
      <pivotArea collapsedLevelsAreSubtotals="1" fieldPosition="0">
        <references count="2">
          <reference field="4294967294" count="1" selected="0">
            <x v="1"/>
          </reference>
          <reference field="0" count="1">
            <x v="51"/>
          </reference>
        </references>
      </pivotArea>
    </format>
    <format dxfId="3416">
      <pivotArea collapsedLevelsAreSubtotals="1" fieldPosition="0">
        <references count="3">
          <reference field="4294967294" count="1" selected="0">
            <x v="1"/>
          </reference>
          <reference field="0" count="1" selected="0">
            <x v="51"/>
          </reference>
          <reference field="1" count="1">
            <x v="74"/>
          </reference>
        </references>
      </pivotArea>
    </format>
    <format dxfId="3417">
      <pivotArea collapsedLevelsAreSubtotals="1" fieldPosition="0">
        <references count="2">
          <reference field="4294967294" count="1" selected="0">
            <x v="1"/>
          </reference>
          <reference field="0" count="1">
            <x v="52"/>
          </reference>
        </references>
      </pivotArea>
    </format>
    <format dxfId="3418">
      <pivotArea collapsedLevelsAreSubtotals="1" fieldPosition="0">
        <references count="3">
          <reference field="4294967294" count="1" selected="0">
            <x v="1"/>
          </reference>
          <reference field="0" count="1" selected="0">
            <x v="52"/>
          </reference>
          <reference field="1" count="1">
            <x v="75"/>
          </reference>
        </references>
      </pivotArea>
    </format>
    <format dxfId="3419">
      <pivotArea collapsedLevelsAreSubtotals="1" fieldPosition="0">
        <references count="2">
          <reference field="4294967294" count="1" selected="0">
            <x v="1"/>
          </reference>
          <reference field="0" count="1">
            <x v="53"/>
          </reference>
        </references>
      </pivotArea>
    </format>
    <format dxfId="3420">
      <pivotArea collapsedLevelsAreSubtotals="1" fieldPosition="0">
        <references count="3">
          <reference field="4294967294" count="1" selected="0">
            <x v="1"/>
          </reference>
          <reference field="0" count="1" selected="0">
            <x v="53"/>
          </reference>
          <reference field="1" count="1">
            <x v="76"/>
          </reference>
        </references>
      </pivotArea>
    </format>
    <format dxfId="3421">
      <pivotArea collapsedLevelsAreSubtotals="1" fieldPosition="0">
        <references count="2">
          <reference field="4294967294" count="1" selected="0">
            <x v="1"/>
          </reference>
          <reference field="0" count="1">
            <x v="54"/>
          </reference>
        </references>
      </pivotArea>
    </format>
    <format dxfId="3422">
      <pivotArea collapsedLevelsAreSubtotals="1" fieldPosition="0">
        <references count="3">
          <reference field="4294967294" count="1" selected="0">
            <x v="1"/>
          </reference>
          <reference field="0" count="1" selected="0">
            <x v="54"/>
          </reference>
          <reference field="1" count="1">
            <x v="77"/>
          </reference>
        </references>
      </pivotArea>
    </format>
    <format dxfId="3423">
      <pivotArea collapsedLevelsAreSubtotals="1" fieldPosition="0">
        <references count="2">
          <reference field="4294967294" count="1" selected="0">
            <x v="1"/>
          </reference>
          <reference field="0" count="1">
            <x v="55"/>
          </reference>
        </references>
      </pivotArea>
    </format>
    <format dxfId="3424">
      <pivotArea collapsedLevelsAreSubtotals="1" fieldPosition="0">
        <references count="3">
          <reference field="4294967294" count="1" selected="0">
            <x v="1"/>
          </reference>
          <reference field="0" count="1" selected="0">
            <x v="55"/>
          </reference>
          <reference field="1" count="1">
            <x v="8"/>
          </reference>
        </references>
      </pivotArea>
    </format>
    <format dxfId="3425">
      <pivotArea collapsedLevelsAreSubtotals="1" fieldPosition="0">
        <references count="2">
          <reference field="4294967294" count="1" selected="0">
            <x v="1"/>
          </reference>
          <reference field="0" count="1">
            <x v="56"/>
          </reference>
        </references>
      </pivotArea>
    </format>
    <format dxfId="3426">
      <pivotArea collapsedLevelsAreSubtotals="1" fieldPosition="0">
        <references count="3">
          <reference field="4294967294" count="1" selected="0">
            <x v="1"/>
          </reference>
          <reference field="0" count="1" selected="0">
            <x v="56"/>
          </reference>
          <reference field="1" count="1">
            <x v="78"/>
          </reference>
        </references>
      </pivotArea>
    </format>
    <format dxfId="3427">
      <pivotArea collapsedLevelsAreSubtotals="1" fieldPosition="0">
        <references count="2">
          <reference field="4294967294" count="1" selected="0">
            <x v="1"/>
          </reference>
          <reference field="0" count="1">
            <x v="57"/>
          </reference>
        </references>
      </pivotArea>
    </format>
    <format dxfId="3428">
      <pivotArea collapsedLevelsAreSubtotals="1" fieldPosition="0">
        <references count="3">
          <reference field="4294967294" count="1" selected="0">
            <x v="1"/>
          </reference>
          <reference field="0" count="1" selected="0">
            <x v="57"/>
          </reference>
          <reference field="1" count="1">
            <x v="79"/>
          </reference>
        </references>
      </pivotArea>
    </format>
    <format dxfId="3429">
      <pivotArea collapsedLevelsAreSubtotals="1" fieldPosition="0">
        <references count="2">
          <reference field="4294967294" count="1" selected="0">
            <x v="1"/>
          </reference>
          <reference field="0" count="1">
            <x v="58"/>
          </reference>
        </references>
      </pivotArea>
    </format>
    <format dxfId="3430">
      <pivotArea collapsedLevelsAreSubtotals="1" fieldPosition="0">
        <references count="3">
          <reference field="4294967294" count="1" selected="0">
            <x v="1"/>
          </reference>
          <reference field="0" count="1" selected="0">
            <x v="58"/>
          </reference>
          <reference field="1" count="2">
            <x v="80"/>
            <x v="81"/>
          </reference>
        </references>
      </pivotArea>
    </format>
    <format dxfId="3431">
      <pivotArea collapsedLevelsAreSubtotals="1" fieldPosition="0">
        <references count="2">
          <reference field="4294967294" count="1" selected="0">
            <x v="1"/>
          </reference>
          <reference field="0" count="1">
            <x v="59"/>
          </reference>
        </references>
      </pivotArea>
    </format>
    <format dxfId="3432">
      <pivotArea collapsedLevelsAreSubtotals="1" fieldPosition="0">
        <references count="3">
          <reference field="4294967294" count="1" selected="0">
            <x v="1"/>
          </reference>
          <reference field="0" count="1" selected="0">
            <x v="59"/>
          </reference>
          <reference field="1" count="1">
            <x v="82"/>
          </reference>
        </references>
      </pivotArea>
    </format>
    <format dxfId="3433">
      <pivotArea collapsedLevelsAreSubtotals="1" fieldPosition="0">
        <references count="2">
          <reference field="4294967294" count="1" selected="0">
            <x v="1"/>
          </reference>
          <reference field="0" count="1">
            <x v="60"/>
          </reference>
        </references>
      </pivotArea>
    </format>
    <format dxfId="3434">
      <pivotArea collapsedLevelsAreSubtotals="1" fieldPosition="0">
        <references count="3">
          <reference field="4294967294" count="1" selected="0">
            <x v="1"/>
          </reference>
          <reference field="0" count="1" selected="0">
            <x v="60"/>
          </reference>
          <reference field="1" count="1">
            <x v="83"/>
          </reference>
        </references>
      </pivotArea>
    </format>
    <format dxfId="3435">
      <pivotArea collapsedLevelsAreSubtotals="1" fieldPosition="0">
        <references count="2">
          <reference field="4294967294" count="1" selected="0">
            <x v="1"/>
          </reference>
          <reference field="0" count="1">
            <x v="61"/>
          </reference>
        </references>
      </pivotArea>
    </format>
    <format dxfId="3436">
      <pivotArea collapsedLevelsAreSubtotals="1" fieldPosition="0">
        <references count="3">
          <reference field="4294967294" count="1" selected="0">
            <x v="1"/>
          </reference>
          <reference field="0" count="1" selected="0">
            <x v="61"/>
          </reference>
          <reference field="1" count="3">
            <x v="5"/>
            <x v="6"/>
            <x v="7"/>
          </reference>
        </references>
      </pivotArea>
    </format>
    <format dxfId="3437">
      <pivotArea collapsedLevelsAreSubtotals="1" fieldPosition="0">
        <references count="2">
          <reference field="4294967294" count="1" selected="0">
            <x v="1"/>
          </reference>
          <reference field="0" count="1">
            <x v="62"/>
          </reference>
        </references>
      </pivotArea>
    </format>
    <format dxfId="3438">
      <pivotArea collapsedLevelsAreSubtotals="1" fieldPosition="0">
        <references count="3">
          <reference field="4294967294" count="1" selected="0">
            <x v="1"/>
          </reference>
          <reference field="0" count="1" selected="0">
            <x v="62"/>
          </reference>
          <reference field="1" count="2">
            <x v="84"/>
            <x v="85"/>
          </reference>
        </references>
      </pivotArea>
    </format>
    <format dxfId="3439">
      <pivotArea collapsedLevelsAreSubtotals="1" fieldPosition="0">
        <references count="2">
          <reference field="4294967294" count="1" selected="0">
            <x v="1"/>
          </reference>
          <reference field="0" count="1">
            <x v="63"/>
          </reference>
        </references>
      </pivotArea>
    </format>
    <format dxfId="3440">
      <pivotArea collapsedLevelsAreSubtotals="1" fieldPosition="0">
        <references count="3">
          <reference field="4294967294" count="1" selected="0">
            <x v="1"/>
          </reference>
          <reference field="0" count="1" selected="0">
            <x v="63"/>
          </reference>
          <reference field="1" count="1">
            <x v="2"/>
          </reference>
        </references>
      </pivotArea>
    </format>
    <format dxfId="3441">
      <pivotArea collapsedLevelsAreSubtotals="1" fieldPosition="0">
        <references count="2">
          <reference field="4294967294" count="1" selected="0">
            <x v="1"/>
          </reference>
          <reference field="0" count="1">
            <x v="64"/>
          </reference>
        </references>
      </pivotArea>
    </format>
    <format dxfId="3442">
      <pivotArea collapsedLevelsAreSubtotals="1" fieldPosition="0">
        <references count="3">
          <reference field="4294967294" count="1" selected="0">
            <x v="1"/>
          </reference>
          <reference field="0" count="1" selected="0">
            <x v="64"/>
          </reference>
          <reference field="1" count="1">
            <x v="86"/>
          </reference>
        </references>
      </pivotArea>
    </format>
    <format dxfId="3443">
      <pivotArea collapsedLevelsAreSubtotals="1" fieldPosition="0">
        <references count="2">
          <reference field="4294967294" count="1" selected="0">
            <x v="1"/>
          </reference>
          <reference field="0" count="1">
            <x v="65"/>
          </reference>
        </references>
      </pivotArea>
    </format>
    <format dxfId="3444">
      <pivotArea collapsedLevelsAreSubtotals="1" fieldPosition="0">
        <references count="3">
          <reference field="4294967294" count="1" selected="0">
            <x v="1"/>
          </reference>
          <reference field="0" count="1" selected="0">
            <x v="65"/>
          </reference>
          <reference field="1" count="1">
            <x v="87"/>
          </reference>
        </references>
      </pivotArea>
    </format>
    <format dxfId="3445">
      <pivotArea collapsedLevelsAreSubtotals="1" fieldPosition="0">
        <references count="2">
          <reference field="4294967294" count="1" selected="0">
            <x v="1"/>
          </reference>
          <reference field="0" count="1">
            <x v="66"/>
          </reference>
        </references>
      </pivotArea>
    </format>
    <format dxfId="3446">
      <pivotArea collapsedLevelsAreSubtotals="1" fieldPosition="0">
        <references count="3">
          <reference field="4294967294" count="1" selected="0">
            <x v="1"/>
          </reference>
          <reference field="0" count="1" selected="0">
            <x v="66"/>
          </reference>
          <reference field="1" count="1">
            <x v="88"/>
          </reference>
        </references>
      </pivotArea>
    </format>
    <format dxfId="3447">
      <pivotArea collapsedLevelsAreSubtotals="1" fieldPosition="0">
        <references count="2">
          <reference field="4294967294" count="1" selected="0">
            <x v="1"/>
          </reference>
          <reference field="0" count="1">
            <x v="67"/>
          </reference>
        </references>
      </pivotArea>
    </format>
    <format dxfId="3448">
      <pivotArea collapsedLevelsAreSubtotals="1" fieldPosition="0">
        <references count="3">
          <reference field="4294967294" count="1" selected="0">
            <x v="1"/>
          </reference>
          <reference field="0" count="1" selected="0">
            <x v="67"/>
          </reference>
          <reference field="1" count="1">
            <x v="89"/>
          </reference>
        </references>
      </pivotArea>
    </format>
    <format dxfId="3449">
      <pivotArea collapsedLevelsAreSubtotals="1" fieldPosition="0">
        <references count="2">
          <reference field="4294967294" count="1" selected="0">
            <x v="1"/>
          </reference>
          <reference field="0" count="1">
            <x v="68"/>
          </reference>
        </references>
      </pivotArea>
    </format>
    <format dxfId="3450">
      <pivotArea collapsedLevelsAreSubtotals="1" fieldPosition="0">
        <references count="3">
          <reference field="4294967294" count="1" selected="0">
            <x v="1"/>
          </reference>
          <reference field="0" count="1" selected="0">
            <x v="68"/>
          </reference>
          <reference field="1" count="2">
            <x v="90"/>
            <x v="91"/>
          </reference>
        </references>
      </pivotArea>
    </format>
    <format dxfId="3451">
      <pivotArea collapsedLevelsAreSubtotals="1" fieldPosition="0">
        <references count="2">
          <reference field="4294967294" count="1" selected="0">
            <x v="1"/>
          </reference>
          <reference field="0" count="1">
            <x v="69"/>
          </reference>
        </references>
      </pivotArea>
    </format>
    <format dxfId="3452">
      <pivotArea collapsedLevelsAreSubtotals="1" fieldPosition="0">
        <references count="3">
          <reference field="4294967294" count="1" selected="0">
            <x v="1"/>
          </reference>
          <reference field="0" count="1" selected="0">
            <x v="69"/>
          </reference>
          <reference field="1" count="1">
            <x v="11"/>
          </reference>
        </references>
      </pivotArea>
    </format>
    <format dxfId="3453">
      <pivotArea collapsedLevelsAreSubtotals="1" fieldPosition="0">
        <references count="2">
          <reference field="4294967294" count="1" selected="0">
            <x v="1"/>
          </reference>
          <reference field="0" count="1">
            <x v="70"/>
          </reference>
        </references>
      </pivotArea>
    </format>
    <format dxfId="3454">
      <pivotArea collapsedLevelsAreSubtotals="1" fieldPosition="0">
        <references count="3">
          <reference field="4294967294" count="1" selected="0">
            <x v="1"/>
          </reference>
          <reference field="0" count="1" selected="0">
            <x v="70"/>
          </reference>
          <reference field="1" count="2">
            <x v="92"/>
            <x v="93"/>
          </reference>
        </references>
      </pivotArea>
    </format>
    <format dxfId="3455">
      <pivotArea collapsedLevelsAreSubtotals="1" fieldPosition="0">
        <references count="2">
          <reference field="4294967294" count="1" selected="0">
            <x v="1"/>
          </reference>
          <reference field="0" count="1">
            <x v="71"/>
          </reference>
        </references>
      </pivotArea>
    </format>
    <format dxfId="3456">
      <pivotArea collapsedLevelsAreSubtotals="1" fieldPosition="0">
        <references count="3">
          <reference field="4294967294" count="1" selected="0">
            <x v="1"/>
          </reference>
          <reference field="0" count="1" selected="0">
            <x v="71"/>
          </reference>
          <reference field="1" count="1">
            <x v="94"/>
          </reference>
        </references>
      </pivotArea>
    </format>
    <format dxfId="3457">
      <pivotArea collapsedLevelsAreSubtotals="1" fieldPosition="0">
        <references count="2">
          <reference field="4294967294" count="1" selected="0">
            <x v="1"/>
          </reference>
          <reference field="0" count="1">
            <x v="72"/>
          </reference>
        </references>
      </pivotArea>
    </format>
    <format dxfId="3458">
      <pivotArea collapsedLevelsAreSubtotals="1" fieldPosition="0">
        <references count="3">
          <reference field="4294967294" count="1" selected="0">
            <x v="1"/>
          </reference>
          <reference field="0" count="1" selected="0">
            <x v="72"/>
          </reference>
          <reference field="1" count="1">
            <x v="95"/>
          </reference>
        </references>
      </pivotArea>
    </format>
    <format dxfId="3459">
      <pivotArea collapsedLevelsAreSubtotals="1" fieldPosition="0">
        <references count="2">
          <reference field="4294967294" count="1" selected="0">
            <x v="1"/>
          </reference>
          <reference field="0" count="1">
            <x v="73"/>
          </reference>
        </references>
      </pivotArea>
    </format>
    <format dxfId="3460">
      <pivotArea collapsedLevelsAreSubtotals="1" fieldPosition="0">
        <references count="3">
          <reference field="4294967294" count="1" selected="0">
            <x v="1"/>
          </reference>
          <reference field="0" count="1" selected="0">
            <x v="73"/>
          </reference>
          <reference field="1" count="2">
            <x v="96"/>
            <x v="97"/>
          </reference>
        </references>
      </pivotArea>
    </format>
    <format dxfId="3461">
      <pivotArea collapsedLevelsAreSubtotals="1" fieldPosition="0">
        <references count="2">
          <reference field="4294967294" count="1" selected="0">
            <x v="1"/>
          </reference>
          <reference field="0" count="1">
            <x v="74"/>
          </reference>
        </references>
      </pivotArea>
    </format>
    <format dxfId="3462">
      <pivotArea collapsedLevelsAreSubtotals="1" fieldPosition="0">
        <references count="3">
          <reference field="4294967294" count="1" selected="0">
            <x v="1"/>
          </reference>
          <reference field="0" count="1" selected="0">
            <x v="74"/>
          </reference>
          <reference field="1" count="1">
            <x v="98"/>
          </reference>
        </references>
      </pivotArea>
    </format>
    <format dxfId="3463">
      <pivotArea collapsedLevelsAreSubtotals="1" fieldPosition="0">
        <references count="2">
          <reference field="4294967294" count="1" selected="0">
            <x v="1"/>
          </reference>
          <reference field="0" count="1">
            <x v="75"/>
          </reference>
        </references>
      </pivotArea>
    </format>
    <format dxfId="3464">
      <pivotArea collapsedLevelsAreSubtotals="1" fieldPosition="0">
        <references count="3">
          <reference field="4294967294" count="1" selected="0">
            <x v="1"/>
          </reference>
          <reference field="0" count="1" selected="0">
            <x v="75"/>
          </reference>
          <reference field="1" count="1">
            <x v="3"/>
          </reference>
        </references>
      </pivotArea>
    </format>
    <format dxfId="3465">
      <pivotArea collapsedLevelsAreSubtotals="1" fieldPosition="0">
        <references count="2">
          <reference field="4294967294" count="1" selected="0">
            <x v="1"/>
          </reference>
          <reference field="0" count="1">
            <x v="76"/>
          </reference>
        </references>
      </pivotArea>
    </format>
    <format dxfId="3466">
      <pivotArea collapsedLevelsAreSubtotals="1" fieldPosition="0">
        <references count="3">
          <reference field="4294967294" count="1" selected="0">
            <x v="1"/>
          </reference>
          <reference field="0" count="1" selected="0">
            <x v="76"/>
          </reference>
          <reference field="1" count="1">
            <x v="99"/>
          </reference>
        </references>
      </pivotArea>
    </format>
    <format dxfId="3467">
      <pivotArea collapsedLevelsAreSubtotals="1" fieldPosition="0">
        <references count="2">
          <reference field="4294967294" count="1" selected="0">
            <x v="1"/>
          </reference>
          <reference field="0" count="1">
            <x v="77"/>
          </reference>
        </references>
      </pivotArea>
    </format>
    <format dxfId="3468">
      <pivotArea collapsedLevelsAreSubtotals="1" fieldPosition="0">
        <references count="3">
          <reference field="4294967294" count="1" selected="0">
            <x v="1"/>
          </reference>
          <reference field="0" count="1" selected="0">
            <x v="77"/>
          </reference>
          <reference field="1" count="2">
            <x v="100"/>
            <x v="101"/>
          </reference>
        </references>
      </pivotArea>
    </format>
    <format dxfId="3469">
      <pivotArea collapsedLevelsAreSubtotals="1" fieldPosition="0">
        <references count="2">
          <reference field="4294967294" count="1" selected="0">
            <x v="1"/>
          </reference>
          <reference field="0" count="1">
            <x v="78"/>
          </reference>
        </references>
      </pivotArea>
    </format>
    <format dxfId="3470">
      <pivotArea collapsedLevelsAreSubtotals="1" fieldPosition="0">
        <references count="3">
          <reference field="4294967294" count="1" selected="0">
            <x v="1"/>
          </reference>
          <reference field="0" count="1" selected="0">
            <x v="78"/>
          </reference>
          <reference field="1" count="1">
            <x v="102"/>
          </reference>
        </references>
      </pivotArea>
    </format>
    <format dxfId="3471">
      <pivotArea collapsedLevelsAreSubtotals="1" fieldPosition="0">
        <references count="2">
          <reference field="4294967294" count="1" selected="0">
            <x v="1"/>
          </reference>
          <reference field="0" count="1">
            <x v="79"/>
          </reference>
        </references>
      </pivotArea>
    </format>
    <format dxfId="3472">
      <pivotArea collapsedLevelsAreSubtotals="1" fieldPosition="0">
        <references count="3">
          <reference field="4294967294" count="1" selected="0">
            <x v="1"/>
          </reference>
          <reference field="0" count="1" selected="0">
            <x v="79"/>
          </reference>
          <reference field="1" count="1">
            <x v="103"/>
          </reference>
        </references>
      </pivotArea>
    </format>
    <format dxfId="3473">
      <pivotArea collapsedLevelsAreSubtotals="1" fieldPosition="0">
        <references count="2">
          <reference field="4294967294" count="1" selected="0">
            <x v="1"/>
          </reference>
          <reference field="0" count="1">
            <x v="80"/>
          </reference>
        </references>
      </pivotArea>
    </format>
    <format dxfId="3474">
      <pivotArea collapsedLevelsAreSubtotals="1" fieldPosition="0">
        <references count="3">
          <reference field="4294967294" count="1" selected="0">
            <x v="1"/>
          </reference>
          <reference field="0" count="1" selected="0">
            <x v="80"/>
          </reference>
          <reference field="1" count="1">
            <x v="104"/>
          </reference>
        </references>
      </pivotArea>
    </format>
    <format dxfId="3475">
      <pivotArea collapsedLevelsAreSubtotals="1" fieldPosition="0">
        <references count="3">
          <reference field="4294967294" count="1" selected="0">
            <x v="1"/>
          </reference>
          <reference field="0" count="1" selected="0">
            <x v="18"/>
          </reference>
          <reference field="1" count="1">
            <x v="36"/>
          </reference>
        </references>
      </pivotArea>
    </format>
    <format dxfId="3476">
      <pivotArea collapsedLevelsAreSubtotals="1" fieldPosition="0">
        <references count="2">
          <reference field="4294967294" count="1" selected="0">
            <x v="1"/>
          </reference>
          <reference field="0" count="1">
            <x v="19"/>
          </reference>
        </references>
      </pivotArea>
    </format>
    <format dxfId="3477">
      <pivotArea collapsedLevelsAreSubtotals="1" fieldPosition="0">
        <references count="3">
          <reference field="4294967294" count="1" selected="0">
            <x v="1"/>
          </reference>
          <reference field="0" count="1" selected="0">
            <x v="19"/>
          </reference>
          <reference field="1" count="1">
            <x v="37"/>
          </reference>
        </references>
      </pivotArea>
    </format>
    <format dxfId="3478">
      <pivotArea collapsedLevelsAreSubtotals="1" fieldPosition="0">
        <references count="2">
          <reference field="4294967294" count="1" selected="0">
            <x v="1"/>
          </reference>
          <reference field="0" count="1">
            <x v="20"/>
          </reference>
        </references>
      </pivotArea>
    </format>
    <format dxfId="3479">
      <pivotArea collapsedLevelsAreSubtotals="1" fieldPosition="0">
        <references count="3">
          <reference field="4294967294" count="1" selected="0">
            <x v="1"/>
          </reference>
          <reference field="0" count="1" selected="0">
            <x v="20"/>
          </reference>
          <reference field="1" count="1">
            <x v="38"/>
          </reference>
        </references>
      </pivotArea>
    </format>
    <format dxfId="3480">
      <pivotArea collapsedLevelsAreSubtotals="1" fieldPosition="0">
        <references count="2">
          <reference field="4294967294" count="1" selected="0">
            <x v="1"/>
          </reference>
          <reference field="0" count="1">
            <x v="21"/>
          </reference>
        </references>
      </pivotArea>
    </format>
    <format dxfId="3481">
      <pivotArea collapsedLevelsAreSubtotals="1" fieldPosition="0">
        <references count="3">
          <reference field="4294967294" count="1" selected="0">
            <x v="1"/>
          </reference>
          <reference field="0" count="1" selected="0">
            <x v="21"/>
          </reference>
          <reference field="1" count="1">
            <x v="39"/>
          </reference>
        </references>
      </pivotArea>
    </format>
    <format dxfId="3482">
      <pivotArea collapsedLevelsAreSubtotals="1" fieldPosition="0">
        <references count="2">
          <reference field="4294967294" count="1" selected="0">
            <x v="1"/>
          </reference>
          <reference field="0" count="1">
            <x v="22"/>
          </reference>
        </references>
      </pivotArea>
    </format>
    <format dxfId="3483">
      <pivotArea collapsedLevelsAreSubtotals="1" fieldPosition="0">
        <references count="3">
          <reference field="4294967294" count="1" selected="0">
            <x v="1"/>
          </reference>
          <reference field="0" count="1" selected="0">
            <x v="22"/>
          </reference>
          <reference field="1" count="1">
            <x v="40"/>
          </reference>
        </references>
      </pivotArea>
    </format>
    <format dxfId="3484">
      <pivotArea collapsedLevelsAreSubtotals="1" fieldPosition="0">
        <references count="2">
          <reference field="4294967294" count="1" selected="0">
            <x v="1"/>
          </reference>
          <reference field="0" count="1">
            <x v="23"/>
          </reference>
        </references>
      </pivotArea>
    </format>
    <format dxfId="3485">
      <pivotArea collapsedLevelsAreSubtotals="1" fieldPosition="0">
        <references count="3">
          <reference field="4294967294" count="1" selected="0">
            <x v="1"/>
          </reference>
          <reference field="0" count="1" selected="0">
            <x v="23"/>
          </reference>
          <reference field="1" count="3">
            <x v="41"/>
            <x v="42"/>
            <x v="43"/>
          </reference>
        </references>
      </pivotArea>
    </format>
    <format dxfId="3486">
      <pivotArea collapsedLevelsAreSubtotals="1" fieldPosition="0">
        <references count="2">
          <reference field="4294967294" count="1" selected="0">
            <x v="1"/>
          </reference>
          <reference field="0" count="1">
            <x v="24"/>
          </reference>
        </references>
      </pivotArea>
    </format>
    <format dxfId="3487">
      <pivotArea collapsedLevelsAreSubtotals="1" fieldPosition="0">
        <references count="3">
          <reference field="4294967294" count="1" selected="0">
            <x v="1"/>
          </reference>
          <reference field="0" count="1" selected="0">
            <x v="24"/>
          </reference>
          <reference field="1" count="3">
            <x v="44"/>
            <x v="45"/>
            <x v="46"/>
          </reference>
        </references>
      </pivotArea>
    </format>
    <format dxfId="3488">
      <pivotArea collapsedLevelsAreSubtotals="1" fieldPosition="0">
        <references count="2">
          <reference field="4294967294" count="1" selected="0">
            <x v="1"/>
          </reference>
          <reference field="0" count="1">
            <x v="25"/>
          </reference>
        </references>
      </pivotArea>
    </format>
    <format dxfId="3489">
      <pivotArea collapsedLevelsAreSubtotals="1" fieldPosition="0">
        <references count="3">
          <reference field="4294967294" count="1" selected="0">
            <x v="1"/>
          </reference>
          <reference field="0" count="1" selected="0">
            <x v="25"/>
          </reference>
          <reference field="1" count="2">
            <x v="47"/>
            <x v="48"/>
          </reference>
        </references>
      </pivotArea>
    </format>
    <format dxfId="3490">
      <pivotArea collapsedLevelsAreSubtotals="1" fieldPosition="0">
        <references count="2">
          <reference field="4294967294" count="1" selected="0">
            <x v="1"/>
          </reference>
          <reference field="0" count="1">
            <x v="26"/>
          </reference>
        </references>
      </pivotArea>
    </format>
    <format dxfId="3491">
      <pivotArea collapsedLevelsAreSubtotals="1" fieldPosition="0">
        <references count="3">
          <reference field="4294967294" count="1" selected="0">
            <x v="1"/>
          </reference>
          <reference field="0" count="1" selected="0">
            <x v="26"/>
          </reference>
          <reference field="1" count="2">
            <x v="49"/>
            <x v="50"/>
          </reference>
        </references>
      </pivotArea>
    </format>
    <format dxfId="3492">
      <pivotArea collapsedLevelsAreSubtotals="1" fieldPosition="0">
        <references count="2">
          <reference field="4294967294" count="1" selected="0">
            <x v="1"/>
          </reference>
          <reference field="0" count="1">
            <x v="27"/>
          </reference>
        </references>
      </pivotArea>
    </format>
    <format dxfId="3493">
      <pivotArea collapsedLevelsAreSubtotals="1" fieldPosition="0">
        <references count="3">
          <reference field="4294967294" count="1" selected="0">
            <x v="1"/>
          </reference>
          <reference field="0" count="1" selected="0">
            <x v="27"/>
          </reference>
          <reference field="1" count="1">
            <x v="51"/>
          </reference>
        </references>
      </pivotArea>
    </format>
    <format dxfId="3494">
      <pivotArea collapsedLevelsAreSubtotals="1" fieldPosition="0">
        <references count="2">
          <reference field="4294967294" count="1" selected="0">
            <x v="1"/>
          </reference>
          <reference field="0" count="1">
            <x v="28"/>
          </reference>
        </references>
      </pivotArea>
    </format>
    <format dxfId="3495">
      <pivotArea collapsedLevelsAreSubtotals="1" fieldPosition="0">
        <references count="3">
          <reference field="4294967294" count="1" selected="0">
            <x v="1"/>
          </reference>
          <reference field="0" count="1" selected="0">
            <x v="28"/>
          </reference>
          <reference field="1" count="1">
            <x v="52"/>
          </reference>
        </references>
      </pivotArea>
    </format>
    <format dxfId="3496">
      <pivotArea collapsedLevelsAreSubtotals="1" fieldPosition="0">
        <references count="2">
          <reference field="4294967294" count="1" selected="0">
            <x v="1"/>
          </reference>
          <reference field="0" count="1">
            <x v="29"/>
          </reference>
        </references>
      </pivotArea>
    </format>
    <format dxfId="3497">
      <pivotArea collapsedLevelsAreSubtotals="1" fieldPosition="0">
        <references count="3">
          <reference field="4294967294" count="1" selected="0">
            <x v="1"/>
          </reference>
          <reference field="0" count="1" selected="0">
            <x v="29"/>
          </reference>
          <reference field="1" count="1">
            <x v="53"/>
          </reference>
        </references>
      </pivotArea>
    </format>
    <format dxfId="3498">
      <pivotArea collapsedLevelsAreSubtotals="1" fieldPosition="0">
        <references count="2">
          <reference field="4294967294" count="1" selected="0">
            <x v="1"/>
          </reference>
          <reference field="0" count="1">
            <x v="30"/>
          </reference>
        </references>
      </pivotArea>
    </format>
    <format dxfId="3499">
      <pivotArea collapsedLevelsAreSubtotals="1" fieldPosition="0">
        <references count="3">
          <reference field="4294967294" count="1" selected="0">
            <x v="1"/>
          </reference>
          <reference field="0" count="1" selected="0">
            <x v="30"/>
          </reference>
          <reference field="1" count="1">
            <x v="54"/>
          </reference>
        </references>
      </pivotArea>
    </format>
    <format dxfId="3500">
      <pivotArea collapsedLevelsAreSubtotals="1" fieldPosition="0">
        <references count="2">
          <reference field="4294967294" count="1" selected="0">
            <x v="1"/>
          </reference>
          <reference field="0" count="1">
            <x v="31"/>
          </reference>
        </references>
      </pivotArea>
    </format>
    <format dxfId="3501">
      <pivotArea collapsedLevelsAreSubtotals="1" fieldPosition="0">
        <references count="3">
          <reference field="4294967294" count="1" selected="0">
            <x v="1"/>
          </reference>
          <reference field="0" count="1" selected="0">
            <x v="31"/>
          </reference>
          <reference field="1" count="1">
            <x v="55"/>
          </reference>
        </references>
      </pivotArea>
    </format>
    <format dxfId="3502">
      <pivotArea collapsedLevelsAreSubtotals="1" fieldPosition="0">
        <references count="2">
          <reference field="4294967294" count="1" selected="0">
            <x v="1"/>
          </reference>
          <reference field="0" count="1">
            <x v="32"/>
          </reference>
        </references>
      </pivotArea>
    </format>
    <format dxfId="3503">
      <pivotArea collapsedLevelsAreSubtotals="1" fieldPosition="0">
        <references count="3">
          <reference field="4294967294" count="1" selected="0">
            <x v="1"/>
          </reference>
          <reference field="0" count="1" selected="0">
            <x v="32"/>
          </reference>
          <reference field="1" count="1">
            <x v="56"/>
          </reference>
        </references>
      </pivotArea>
    </format>
    <format dxfId="3504">
      <pivotArea collapsedLevelsAreSubtotals="1" fieldPosition="0">
        <references count="2">
          <reference field="4294967294" count="1" selected="0">
            <x v="1"/>
          </reference>
          <reference field="0" count="1">
            <x v="33"/>
          </reference>
        </references>
      </pivotArea>
    </format>
    <format dxfId="3505">
      <pivotArea collapsedLevelsAreSubtotals="1" fieldPosition="0">
        <references count="3">
          <reference field="4294967294" count="1" selected="0">
            <x v="1"/>
          </reference>
          <reference field="0" count="1" selected="0">
            <x v="33"/>
          </reference>
          <reference field="1" count="1">
            <x v="57"/>
          </reference>
        </references>
      </pivotArea>
    </format>
    <format dxfId="3506">
      <pivotArea collapsedLevelsAreSubtotals="1" fieldPosition="0">
        <references count="2">
          <reference field="4294967294" count="1" selected="0">
            <x v="1"/>
          </reference>
          <reference field="0" count="1">
            <x v="34"/>
          </reference>
        </references>
      </pivotArea>
    </format>
    <format dxfId="3507">
      <pivotArea collapsedLevelsAreSubtotals="1" fieldPosition="0">
        <references count="3">
          <reference field="4294967294" count="1" selected="0">
            <x v="1"/>
          </reference>
          <reference field="0" count="1" selected="0">
            <x v="34"/>
          </reference>
          <reference field="1" count="1">
            <x v="9"/>
          </reference>
        </references>
      </pivotArea>
    </format>
    <format dxfId="3508">
      <pivotArea collapsedLevelsAreSubtotals="1" fieldPosition="0">
        <references count="2">
          <reference field="4294967294" count="1" selected="0">
            <x v="1"/>
          </reference>
          <reference field="0" count="1">
            <x v="35"/>
          </reference>
        </references>
      </pivotArea>
    </format>
    <format dxfId="3509">
      <pivotArea collapsedLevelsAreSubtotals="1" fieldPosition="0">
        <references count="3">
          <reference field="4294967294" count="1" selected="0">
            <x v="1"/>
          </reference>
          <reference field="0" count="1" selected="0">
            <x v="35"/>
          </reference>
          <reference field="1" count="1">
            <x v="58"/>
          </reference>
        </references>
      </pivotArea>
    </format>
    <format dxfId="3510">
      <pivotArea collapsedLevelsAreSubtotals="1" fieldPosition="0">
        <references count="2">
          <reference field="4294967294" count="1" selected="0">
            <x v="1"/>
          </reference>
          <reference field="0" count="1">
            <x v="36"/>
          </reference>
        </references>
      </pivotArea>
    </format>
    <format dxfId="3511">
      <pivotArea collapsedLevelsAreSubtotals="1" fieldPosition="0">
        <references count="3">
          <reference field="4294967294" count="1" selected="0">
            <x v="1"/>
          </reference>
          <reference field="0" count="1" selected="0">
            <x v="36"/>
          </reference>
          <reference field="1" count="2">
            <x v="59"/>
            <x v="60"/>
          </reference>
        </references>
      </pivotArea>
    </format>
    <format dxfId="3512">
      <pivotArea collapsedLevelsAreSubtotals="1" fieldPosition="0">
        <references count="2">
          <reference field="4294967294" count="1" selected="0">
            <x v="1"/>
          </reference>
          <reference field="0" count="1">
            <x v="37"/>
          </reference>
        </references>
      </pivotArea>
    </format>
    <format dxfId="3513">
      <pivotArea collapsedLevelsAreSubtotals="1" fieldPosition="0">
        <references count="3">
          <reference field="4294967294" count="1" selected="0">
            <x v="1"/>
          </reference>
          <reference field="0" count="1" selected="0">
            <x v="37"/>
          </reference>
          <reference field="1" count="2">
            <x v="0"/>
            <x v="1"/>
          </reference>
        </references>
      </pivotArea>
    </format>
    <format dxfId="3514">
      <pivotArea collapsedLevelsAreSubtotals="1" fieldPosition="0">
        <references count="2">
          <reference field="4294967294" count="1" selected="0">
            <x v="1"/>
          </reference>
          <reference field="0" count="1">
            <x v="38"/>
          </reference>
        </references>
      </pivotArea>
    </format>
    <format dxfId="3515">
      <pivotArea collapsedLevelsAreSubtotals="1" fieldPosition="0">
        <references count="3">
          <reference field="4294967294" count="1" selected="0">
            <x v="1"/>
          </reference>
          <reference field="0" count="1" selected="0">
            <x v="38"/>
          </reference>
          <reference field="1" count="2">
            <x v="61"/>
            <x v="62"/>
          </reference>
        </references>
      </pivotArea>
    </format>
    <format dxfId="3516">
      <pivotArea collapsedLevelsAreSubtotals="1" fieldPosition="0">
        <references count="2">
          <reference field="4294967294" count="1" selected="0">
            <x v="1"/>
          </reference>
          <reference field="0" count="1">
            <x v="39"/>
          </reference>
        </references>
      </pivotArea>
    </format>
    <format dxfId="3517">
      <pivotArea collapsedLevelsAreSubtotals="1" fieldPosition="0">
        <references count="3">
          <reference field="4294967294" count="1" selected="0">
            <x v="1"/>
          </reference>
          <reference field="0" count="1" selected="0">
            <x v="39"/>
          </reference>
          <reference field="1" count="1">
            <x v="10"/>
          </reference>
        </references>
      </pivotArea>
    </format>
    <format dxfId="3518">
      <pivotArea collapsedLevelsAreSubtotals="1" fieldPosition="0">
        <references count="2">
          <reference field="4294967294" count="1" selected="0">
            <x v="1"/>
          </reference>
          <reference field="0" count="1">
            <x v="40"/>
          </reference>
        </references>
      </pivotArea>
    </format>
    <format dxfId="3519">
      <pivotArea collapsedLevelsAreSubtotals="1" fieldPosition="0">
        <references count="3">
          <reference field="4294967294" count="1" selected="0">
            <x v="1"/>
          </reference>
          <reference field="0" count="1" selected="0">
            <x v="40"/>
          </reference>
          <reference field="1" count="1">
            <x v="63"/>
          </reference>
        </references>
      </pivotArea>
    </format>
    <format dxfId="3520">
      <pivotArea collapsedLevelsAreSubtotals="1" fieldPosition="0">
        <references count="2">
          <reference field="4294967294" count="1" selected="0">
            <x v="1"/>
          </reference>
          <reference field="0" count="1">
            <x v="41"/>
          </reference>
        </references>
      </pivotArea>
    </format>
    <format dxfId="3521">
      <pivotArea collapsedLevelsAreSubtotals="1" fieldPosition="0">
        <references count="3">
          <reference field="4294967294" count="1" selected="0">
            <x v="1"/>
          </reference>
          <reference field="0" count="1" selected="0">
            <x v="41"/>
          </reference>
          <reference field="1" count="1">
            <x v="64"/>
          </reference>
        </references>
      </pivotArea>
    </format>
    <format dxfId="3522">
      <pivotArea collapsedLevelsAreSubtotals="1" fieldPosition="0">
        <references count="2">
          <reference field="4294967294" count="1" selected="0">
            <x v="1"/>
          </reference>
          <reference field="0" count="1">
            <x v="42"/>
          </reference>
        </references>
      </pivotArea>
    </format>
    <format dxfId="3523">
      <pivotArea collapsedLevelsAreSubtotals="1" fieldPosition="0">
        <references count="3">
          <reference field="4294967294" count="1" selected="0">
            <x v="1"/>
          </reference>
          <reference field="0" count="1" selected="0">
            <x v="42"/>
          </reference>
          <reference field="1" count="1">
            <x v="4"/>
          </reference>
        </references>
      </pivotArea>
    </format>
    <format dxfId="3524">
      <pivotArea collapsedLevelsAreSubtotals="1" fieldPosition="0">
        <references count="2">
          <reference field="4294967294" count="1" selected="0">
            <x v="1"/>
          </reference>
          <reference field="0" count="1">
            <x v="43"/>
          </reference>
        </references>
      </pivotArea>
    </format>
    <format dxfId="3525">
      <pivotArea collapsedLevelsAreSubtotals="1" fieldPosition="0">
        <references count="3">
          <reference field="4294967294" count="1" selected="0">
            <x v="1"/>
          </reference>
          <reference field="0" count="1" selected="0">
            <x v="43"/>
          </reference>
          <reference field="1" count="2">
            <x v="65"/>
            <x v="66"/>
          </reference>
        </references>
      </pivotArea>
    </format>
    <format dxfId="3526">
      <pivotArea collapsedLevelsAreSubtotals="1" fieldPosition="0">
        <references count="2">
          <reference field="4294967294" count="1" selected="0">
            <x v="1"/>
          </reference>
          <reference field="0" count="1">
            <x v="44"/>
          </reference>
        </references>
      </pivotArea>
    </format>
    <format dxfId="3527">
      <pivotArea collapsedLevelsAreSubtotals="1" fieldPosition="0">
        <references count="3">
          <reference field="4294967294" count="1" selected="0">
            <x v="1"/>
          </reference>
          <reference field="0" count="1" selected="0">
            <x v="44"/>
          </reference>
          <reference field="1" count="1">
            <x v="67"/>
          </reference>
        </references>
      </pivotArea>
    </format>
    <format dxfId="3528">
      <pivotArea collapsedLevelsAreSubtotals="1" fieldPosition="0">
        <references count="2">
          <reference field="4294967294" count="1" selected="0">
            <x v="1"/>
          </reference>
          <reference field="0" count="1">
            <x v="45"/>
          </reference>
        </references>
      </pivotArea>
    </format>
    <format dxfId="3529">
      <pivotArea collapsedLevelsAreSubtotals="1" fieldPosition="0">
        <references count="3">
          <reference field="4294967294" count="1" selected="0">
            <x v="1"/>
          </reference>
          <reference field="0" count="1" selected="0">
            <x v="45"/>
          </reference>
          <reference field="1" count="1">
            <x v="68"/>
          </reference>
        </references>
      </pivotArea>
    </format>
    <format dxfId="3530">
      <pivotArea collapsedLevelsAreSubtotals="1" fieldPosition="0">
        <references count="2">
          <reference field="4294967294" count="1" selected="0">
            <x v="1"/>
          </reference>
          <reference field="0" count="1">
            <x v="46"/>
          </reference>
        </references>
      </pivotArea>
    </format>
    <format dxfId="3531">
      <pivotArea collapsedLevelsAreSubtotals="1" fieldPosition="0">
        <references count="3">
          <reference field="4294967294" count="1" selected="0">
            <x v="1"/>
          </reference>
          <reference field="0" count="1" selected="0">
            <x v="46"/>
          </reference>
          <reference field="1" count="1">
            <x v="69"/>
          </reference>
        </references>
      </pivotArea>
    </format>
    <format dxfId="3532">
      <pivotArea collapsedLevelsAreSubtotals="1" fieldPosition="0">
        <references count="2">
          <reference field="4294967294" count="1" selected="0">
            <x v="1"/>
          </reference>
          <reference field="0" count="1">
            <x v="47"/>
          </reference>
        </references>
      </pivotArea>
    </format>
    <format dxfId="3533">
      <pivotArea collapsedLevelsAreSubtotals="1" fieldPosition="0">
        <references count="3">
          <reference field="4294967294" count="1" selected="0">
            <x v="1"/>
          </reference>
          <reference field="0" count="1" selected="0">
            <x v="47"/>
          </reference>
          <reference field="1" count="1">
            <x v="70"/>
          </reference>
        </references>
      </pivotArea>
    </format>
    <format dxfId="3534">
      <pivotArea collapsedLevelsAreSubtotals="1" fieldPosition="0">
        <references count="2">
          <reference field="4294967294" count="1" selected="0">
            <x v="1"/>
          </reference>
          <reference field="0" count="1">
            <x v="48"/>
          </reference>
        </references>
      </pivotArea>
    </format>
    <format dxfId="3535">
      <pivotArea collapsedLevelsAreSubtotals="1" fieldPosition="0">
        <references count="3">
          <reference field="4294967294" count="1" selected="0">
            <x v="1"/>
          </reference>
          <reference field="0" count="1" selected="0">
            <x v="48"/>
          </reference>
          <reference field="1" count="1">
            <x v="71"/>
          </reference>
        </references>
      </pivotArea>
    </format>
    <format dxfId="3536">
      <pivotArea collapsedLevelsAreSubtotals="1" fieldPosition="0">
        <references count="2">
          <reference field="4294967294" count="1" selected="0">
            <x v="1"/>
          </reference>
          <reference field="0" count="1">
            <x v="49"/>
          </reference>
        </references>
      </pivotArea>
    </format>
    <format dxfId="3537">
      <pivotArea collapsedLevelsAreSubtotals="1" fieldPosition="0">
        <references count="3">
          <reference field="4294967294" count="1" selected="0">
            <x v="1"/>
          </reference>
          <reference field="0" count="1" selected="0">
            <x v="49"/>
          </reference>
          <reference field="1" count="1">
            <x v="72"/>
          </reference>
        </references>
      </pivotArea>
    </format>
    <format dxfId="3538">
      <pivotArea collapsedLevelsAreSubtotals="1" fieldPosition="0">
        <references count="2">
          <reference field="4294967294" count="1" selected="0">
            <x v="1"/>
          </reference>
          <reference field="0" count="1">
            <x v="50"/>
          </reference>
        </references>
      </pivotArea>
    </format>
    <format dxfId="3539">
      <pivotArea collapsedLevelsAreSubtotals="1" fieldPosition="0">
        <references count="3">
          <reference field="4294967294" count="1" selected="0">
            <x v="1"/>
          </reference>
          <reference field="0" count="1" selected="0">
            <x v="50"/>
          </reference>
          <reference field="1" count="1">
            <x v="73"/>
          </reference>
        </references>
      </pivotArea>
    </format>
    <format dxfId="3540">
      <pivotArea collapsedLevelsAreSubtotals="1" fieldPosition="0">
        <references count="2">
          <reference field="4294967294" count="1" selected="0">
            <x v="1"/>
          </reference>
          <reference field="0" count="1">
            <x v="51"/>
          </reference>
        </references>
      </pivotArea>
    </format>
    <format dxfId="3541">
      <pivotArea collapsedLevelsAreSubtotals="1" fieldPosition="0">
        <references count="3">
          <reference field="4294967294" count="1" selected="0">
            <x v="1"/>
          </reference>
          <reference field="0" count="1" selected="0">
            <x v="51"/>
          </reference>
          <reference field="1" count="1">
            <x v="74"/>
          </reference>
        </references>
      </pivotArea>
    </format>
    <format dxfId="3542">
      <pivotArea collapsedLevelsAreSubtotals="1" fieldPosition="0">
        <references count="2">
          <reference field="4294967294" count="1" selected="0">
            <x v="1"/>
          </reference>
          <reference field="0" count="1">
            <x v="52"/>
          </reference>
        </references>
      </pivotArea>
    </format>
    <format dxfId="3543">
      <pivotArea collapsedLevelsAreSubtotals="1" fieldPosition="0">
        <references count="3">
          <reference field="4294967294" count="1" selected="0">
            <x v="1"/>
          </reference>
          <reference field="0" count="1" selected="0">
            <x v="52"/>
          </reference>
          <reference field="1" count="1">
            <x v="75"/>
          </reference>
        </references>
      </pivotArea>
    </format>
    <format dxfId="3544">
      <pivotArea collapsedLevelsAreSubtotals="1" fieldPosition="0">
        <references count="2">
          <reference field="4294967294" count="1" selected="0">
            <x v="1"/>
          </reference>
          <reference field="0" count="1">
            <x v="53"/>
          </reference>
        </references>
      </pivotArea>
    </format>
    <format dxfId="3545">
      <pivotArea collapsedLevelsAreSubtotals="1" fieldPosition="0">
        <references count="3">
          <reference field="4294967294" count="1" selected="0">
            <x v="1"/>
          </reference>
          <reference field="0" count="1" selected="0">
            <x v="53"/>
          </reference>
          <reference field="1" count="1">
            <x v="76"/>
          </reference>
        </references>
      </pivotArea>
    </format>
    <format dxfId="3546">
      <pivotArea collapsedLevelsAreSubtotals="1" fieldPosition="0">
        <references count="2">
          <reference field="4294967294" count="1" selected="0">
            <x v="1"/>
          </reference>
          <reference field="0" count="1">
            <x v="54"/>
          </reference>
        </references>
      </pivotArea>
    </format>
    <format dxfId="3547">
      <pivotArea collapsedLevelsAreSubtotals="1" fieldPosition="0">
        <references count="3">
          <reference field="4294967294" count="1" selected="0">
            <x v="1"/>
          </reference>
          <reference field="0" count="1" selected="0">
            <x v="54"/>
          </reference>
          <reference field="1" count="1">
            <x v="77"/>
          </reference>
        </references>
      </pivotArea>
    </format>
    <format dxfId="3548">
      <pivotArea collapsedLevelsAreSubtotals="1" fieldPosition="0">
        <references count="2">
          <reference field="4294967294" count="1" selected="0">
            <x v="1"/>
          </reference>
          <reference field="0" count="1">
            <x v="55"/>
          </reference>
        </references>
      </pivotArea>
    </format>
    <format dxfId="3549">
      <pivotArea collapsedLevelsAreSubtotals="1" fieldPosition="0">
        <references count="3">
          <reference field="4294967294" count="1" selected="0">
            <x v="1"/>
          </reference>
          <reference field="0" count="1" selected="0">
            <x v="55"/>
          </reference>
          <reference field="1" count="1">
            <x v="8"/>
          </reference>
        </references>
      </pivotArea>
    </format>
    <format dxfId="3550">
      <pivotArea collapsedLevelsAreSubtotals="1" fieldPosition="0">
        <references count="2">
          <reference field="4294967294" count="1" selected="0">
            <x v="1"/>
          </reference>
          <reference field="0" count="1">
            <x v="56"/>
          </reference>
        </references>
      </pivotArea>
    </format>
    <format dxfId="3551">
      <pivotArea collapsedLevelsAreSubtotals="1" fieldPosition="0">
        <references count="3">
          <reference field="4294967294" count="1" selected="0">
            <x v="1"/>
          </reference>
          <reference field="0" count="1" selected="0">
            <x v="56"/>
          </reference>
          <reference field="1" count="1">
            <x v="78"/>
          </reference>
        </references>
      </pivotArea>
    </format>
    <format dxfId="3552">
      <pivotArea collapsedLevelsAreSubtotals="1" fieldPosition="0">
        <references count="2">
          <reference field="4294967294" count="1" selected="0">
            <x v="1"/>
          </reference>
          <reference field="0" count="1">
            <x v="57"/>
          </reference>
        </references>
      </pivotArea>
    </format>
    <format dxfId="3553">
      <pivotArea collapsedLevelsAreSubtotals="1" fieldPosition="0">
        <references count="3">
          <reference field="4294967294" count="1" selected="0">
            <x v="1"/>
          </reference>
          <reference field="0" count="1" selected="0">
            <x v="57"/>
          </reference>
          <reference field="1" count="1">
            <x v="79"/>
          </reference>
        </references>
      </pivotArea>
    </format>
    <format dxfId="3554">
      <pivotArea collapsedLevelsAreSubtotals="1" fieldPosition="0">
        <references count="2">
          <reference field="4294967294" count="1" selected="0">
            <x v="1"/>
          </reference>
          <reference field="0" count="1">
            <x v="58"/>
          </reference>
        </references>
      </pivotArea>
    </format>
    <format dxfId="3555">
      <pivotArea collapsedLevelsAreSubtotals="1" fieldPosition="0">
        <references count="3">
          <reference field="4294967294" count="1" selected="0">
            <x v="1"/>
          </reference>
          <reference field="0" count="1" selected="0">
            <x v="58"/>
          </reference>
          <reference field="1" count="2">
            <x v="80"/>
            <x v="81"/>
          </reference>
        </references>
      </pivotArea>
    </format>
    <format dxfId="3556">
      <pivotArea collapsedLevelsAreSubtotals="1" fieldPosition="0">
        <references count="2">
          <reference field="4294967294" count="1" selected="0">
            <x v="1"/>
          </reference>
          <reference field="0" count="1">
            <x v="59"/>
          </reference>
        </references>
      </pivotArea>
    </format>
    <format dxfId="3557">
      <pivotArea collapsedLevelsAreSubtotals="1" fieldPosition="0">
        <references count="3">
          <reference field="4294967294" count="1" selected="0">
            <x v="1"/>
          </reference>
          <reference field="0" count="1" selected="0">
            <x v="59"/>
          </reference>
          <reference field="1" count="1">
            <x v="82"/>
          </reference>
        </references>
      </pivotArea>
    </format>
    <format dxfId="3558">
      <pivotArea collapsedLevelsAreSubtotals="1" fieldPosition="0">
        <references count="2">
          <reference field="4294967294" count="1" selected="0">
            <x v="1"/>
          </reference>
          <reference field="0" count="1">
            <x v="60"/>
          </reference>
        </references>
      </pivotArea>
    </format>
    <format dxfId="3559">
      <pivotArea collapsedLevelsAreSubtotals="1" fieldPosition="0">
        <references count="3">
          <reference field="4294967294" count="1" selected="0">
            <x v="1"/>
          </reference>
          <reference field="0" count="1" selected="0">
            <x v="60"/>
          </reference>
          <reference field="1" count="1">
            <x v="83"/>
          </reference>
        </references>
      </pivotArea>
    </format>
    <format dxfId="3560">
      <pivotArea collapsedLevelsAreSubtotals="1" fieldPosition="0">
        <references count="2">
          <reference field="4294967294" count="1" selected="0">
            <x v="1"/>
          </reference>
          <reference field="0" count="1">
            <x v="61"/>
          </reference>
        </references>
      </pivotArea>
    </format>
    <format dxfId="3561">
      <pivotArea collapsedLevelsAreSubtotals="1" fieldPosition="0">
        <references count="3">
          <reference field="4294967294" count="1" selected="0">
            <x v="1"/>
          </reference>
          <reference field="0" count="1" selected="0">
            <x v="61"/>
          </reference>
          <reference field="1" count="3">
            <x v="5"/>
            <x v="6"/>
            <x v="7"/>
          </reference>
        </references>
      </pivotArea>
    </format>
    <format dxfId="3562">
      <pivotArea collapsedLevelsAreSubtotals="1" fieldPosition="0">
        <references count="2">
          <reference field="4294967294" count="1" selected="0">
            <x v="1"/>
          </reference>
          <reference field="0" count="1">
            <x v="62"/>
          </reference>
        </references>
      </pivotArea>
    </format>
    <format dxfId="3563">
      <pivotArea collapsedLevelsAreSubtotals="1" fieldPosition="0">
        <references count="3">
          <reference field="4294967294" count="1" selected="0">
            <x v="1"/>
          </reference>
          <reference field="0" count="1" selected="0">
            <x v="62"/>
          </reference>
          <reference field="1" count="2">
            <x v="84"/>
            <x v="85"/>
          </reference>
        </references>
      </pivotArea>
    </format>
    <format dxfId="3564">
      <pivotArea collapsedLevelsAreSubtotals="1" fieldPosition="0">
        <references count="2">
          <reference field="4294967294" count="1" selected="0">
            <x v="1"/>
          </reference>
          <reference field="0" count="1">
            <x v="63"/>
          </reference>
        </references>
      </pivotArea>
    </format>
    <format dxfId="3565">
      <pivotArea collapsedLevelsAreSubtotals="1" fieldPosition="0">
        <references count="3">
          <reference field="4294967294" count="1" selected="0">
            <x v="1"/>
          </reference>
          <reference field="0" count="1" selected="0">
            <x v="63"/>
          </reference>
          <reference field="1" count="1">
            <x v="2"/>
          </reference>
        </references>
      </pivotArea>
    </format>
    <format dxfId="3566">
      <pivotArea collapsedLevelsAreSubtotals="1" fieldPosition="0">
        <references count="2">
          <reference field="4294967294" count="1" selected="0">
            <x v="1"/>
          </reference>
          <reference field="0" count="1">
            <x v="64"/>
          </reference>
        </references>
      </pivotArea>
    </format>
    <format dxfId="3567">
      <pivotArea collapsedLevelsAreSubtotals="1" fieldPosition="0">
        <references count="3">
          <reference field="4294967294" count="1" selected="0">
            <x v="1"/>
          </reference>
          <reference field="0" count="1" selected="0">
            <x v="64"/>
          </reference>
          <reference field="1" count="1">
            <x v="86"/>
          </reference>
        </references>
      </pivotArea>
    </format>
    <format dxfId="3568">
      <pivotArea collapsedLevelsAreSubtotals="1" fieldPosition="0">
        <references count="2">
          <reference field="4294967294" count="1" selected="0">
            <x v="1"/>
          </reference>
          <reference field="0" count="1">
            <x v="65"/>
          </reference>
        </references>
      </pivotArea>
    </format>
    <format dxfId="3569">
      <pivotArea collapsedLevelsAreSubtotals="1" fieldPosition="0">
        <references count="3">
          <reference field="4294967294" count="1" selected="0">
            <x v="1"/>
          </reference>
          <reference field="0" count="1" selected="0">
            <x v="65"/>
          </reference>
          <reference field="1" count="1">
            <x v="87"/>
          </reference>
        </references>
      </pivotArea>
    </format>
    <format dxfId="3570">
      <pivotArea collapsedLevelsAreSubtotals="1" fieldPosition="0">
        <references count="2">
          <reference field="4294967294" count="1" selected="0">
            <x v="1"/>
          </reference>
          <reference field="0" count="1">
            <x v="66"/>
          </reference>
        </references>
      </pivotArea>
    </format>
    <format dxfId="3571">
      <pivotArea collapsedLevelsAreSubtotals="1" fieldPosition="0">
        <references count="3">
          <reference field="4294967294" count="1" selected="0">
            <x v="1"/>
          </reference>
          <reference field="0" count="1" selected="0">
            <x v="66"/>
          </reference>
          <reference field="1" count="1">
            <x v="88"/>
          </reference>
        </references>
      </pivotArea>
    </format>
    <format dxfId="3572">
      <pivotArea collapsedLevelsAreSubtotals="1" fieldPosition="0">
        <references count="2">
          <reference field="4294967294" count="1" selected="0">
            <x v="1"/>
          </reference>
          <reference field="0" count="1">
            <x v="67"/>
          </reference>
        </references>
      </pivotArea>
    </format>
    <format dxfId="3573">
      <pivotArea collapsedLevelsAreSubtotals="1" fieldPosition="0">
        <references count="3">
          <reference field="4294967294" count="1" selected="0">
            <x v="1"/>
          </reference>
          <reference field="0" count="1" selected="0">
            <x v="67"/>
          </reference>
          <reference field="1" count="1">
            <x v="89"/>
          </reference>
        </references>
      </pivotArea>
    </format>
    <format dxfId="3574">
      <pivotArea collapsedLevelsAreSubtotals="1" fieldPosition="0">
        <references count="2">
          <reference field="4294967294" count="1" selected="0">
            <x v="1"/>
          </reference>
          <reference field="0" count="1">
            <x v="68"/>
          </reference>
        </references>
      </pivotArea>
    </format>
    <format dxfId="3575">
      <pivotArea collapsedLevelsAreSubtotals="1" fieldPosition="0">
        <references count="3">
          <reference field="4294967294" count="1" selected="0">
            <x v="1"/>
          </reference>
          <reference field="0" count="1" selected="0">
            <x v="68"/>
          </reference>
          <reference field="1" count="2">
            <x v="90"/>
            <x v="91"/>
          </reference>
        </references>
      </pivotArea>
    </format>
    <format dxfId="3576">
      <pivotArea collapsedLevelsAreSubtotals="1" fieldPosition="0">
        <references count="2">
          <reference field="4294967294" count="1" selected="0">
            <x v="1"/>
          </reference>
          <reference field="0" count="1">
            <x v="69"/>
          </reference>
        </references>
      </pivotArea>
    </format>
    <format dxfId="3577">
      <pivotArea collapsedLevelsAreSubtotals="1" fieldPosition="0">
        <references count="3">
          <reference field="4294967294" count="1" selected="0">
            <x v="1"/>
          </reference>
          <reference field="0" count="1" selected="0">
            <x v="69"/>
          </reference>
          <reference field="1" count="1">
            <x v="11"/>
          </reference>
        </references>
      </pivotArea>
    </format>
    <format dxfId="3578">
      <pivotArea collapsedLevelsAreSubtotals="1" fieldPosition="0">
        <references count="2">
          <reference field="4294967294" count="1" selected="0">
            <x v="1"/>
          </reference>
          <reference field="0" count="1">
            <x v="70"/>
          </reference>
        </references>
      </pivotArea>
    </format>
    <format dxfId="3579">
      <pivotArea collapsedLevelsAreSubtotals="1" fieldPosition="0">
        <references count="3">
          <reference field="4294967294" count="1" selected="0">
            <x v="1"/>
          </reference>
          <reference field="0" count="1" selected="0">
            <x v="70"/>
          </reference>
          <reference field="1" count="2">
            <x v="92"/>
            <x v="93"/>
          </reference>
        </references>
      </pivotArea>
    </format>
    <format dxfId="3580">
      <pivotArea collapsedLevelsAreSubtotals="1" fieldPosition="0">
        <references count="2">
          <reference field="4294967294" count="1" selected="0">
            <x v="1"/>
          </reference>
          <reference field="0" count="1">
            <x v="71"/>
          </reference>
        </references>
      </pivotArea>
    </format>
    <format dxfId="3581">
      <pivotArea collapsedLevelsAreSubtotals="1" fieldPosition="0">
        <references count="3">
          <reference field="4294967294" count="1" selected="0">
            <x v="1"/>
          </reference>
          <reference field="0" count="1" selected="0">
            <x v="71"/>
          </reference>
          <reference field="1" count="1">
            <x v="94"/>
          </reference>
        </references>
      </pivotArea>
    </format>
    <format dxfId="3582">
      <pivotArea collapsedLevelsAreSubtotals="1" fieldPosition="0">
        <references count="2">
          <reference field="4294967294" count="1" selected="0">
            <x v="1"/>
          </reference>
          <reference field="0" count="1">
            <x v="72"/>
          </reference>
        </references>
      </pivotArea>
    </format>
    <format dxfId="3583">
      <pivotArea collapsedLevelsAreSubtotals="1" fieldPosition="0">
        <references count="3">
          <reference field="4294967294" count="1" selected="0">
            <x v="1"/>
          </reference>
          <reference field="0" count="1" selected="0">
            <x v="72"/>
          </reference>
          <reference field="1" count="1">
            <x v="95"/>
          </reference>
        </references>
      </pivotArea>
    </format>
    <format dxfId="3584">
      <pivotArea collapsedLevelsAreSubtotals="1" fieldPosition="0">
        <references count="2">
          <reference field="4294967294" count="1" selected="0">
            <x v="1"/>
          </reference>
          <reference field="0" count="1">
            <x v="73"/>
          </reference>
        </references>
      </pivotArea>
    </format>
    <format dxfId="3585">
      <pivotArea collapsedLevelsAreSubtotals="1" fieldPosition="0">
        <references count="3">
          <reference field="4294967294" count="1" selected="0">
            <x v="1"/>
          </reference>
          <reference field="0" count="1" selected="0">
            <x v="73"/>
          </reference>
          <reference field="1" count="2">
            <x v="96"/>
            <x v="97"/>
          </reference>
        </references>
      </pivotArea>
    </format>
    <format dxfId="3586">
      <pivotArea collapsedLevelsAreSubtotals="1" fieldPosition="0">
        <references count="2">
          <reference field="4294967294" count="1" selected="0">
            <x v="1"/>
          </reference>
          <reference field="0" count="1">
            <x v="74"/>
          </reference>
        </references>
      </pivotArea>
    </format>
    <format dxfId="3587">
      <pivotArea collapsedLevelsAreSubtotals="1" fieldPosition="0">
        <references count="3">
          <reference field="4294967294" count="1" selected="0">
            <x v="1"/>
          </reference>
          <reference field="0" count="1" selected="0">
            <x v="74"/>
          </reference>
          <reference field="1" count="1">
            <x v="98"/>
          </reference>
        </references>
      </pivotArea>
    </format>
    <format dxfId="3588">
      <pivotArea collapsedLevelsAreSubtotals="1" fieldPosition="0">
        <references count="2">
          <reference field="4294967294" count="1" selected="0">
            <x v="1"/>
          </reference>
          <reference field="0" count="1">
            <x v="75"/>
          </reference>
        </references>
      </pivotArea>
    </format>
    <format dxfId="3589">
      <pivotArea collapsedLevelsAreSubtotals="1" fieldPosition="0">
        <references count="3">
          <reference field="4294967294" count="1" selected="0">
            <x v="1"/>
          </reference>
          <reference field="0" count="1" selected="0">
            <x v="75"/>
          </reference>
          <reference field="1" count="1">
            <x v="3"/>
          </reference>
        </references>
      </pivotArea>
    </format>
    <format dxfId="3590">
      <pivotArea collapsedLevelsAreSubtotals="1" fieldPosition="0">
        <references count="2">
          <reference field="4294967294" count="1" selected="0">
            <x v="1"/>
          </reference>
          <reference field="0" count="1">
            <x v="76"/>
          </reference>
        </references>
      </pivotArea>
    </format>
    <format dxfId="3591">
      <pivotArea collapsedLevelsAreSubtotals="1" fieldPosition="0">
        <references count="3">
          <reference field="4294967294" count="1" selected="0">
            <x v="1"/>
          </reference>
          <reference field="0" count="1" selected="0">
            <x v="76"/>
          </reference>
          <reference field="1" count="1">
            <x v="99"/>
          </reference>
        </references>
      </pivotArea>
    </format>
    <format dxfId="3592">
      <pivotArea collapsedLevelsAreSubtotals="1" fieldPosition="0">
        <references count="2">
          <reference field="4294967294" count="1" selected="0">
            <x v="1"/>
          </reference>
          <reference field="0" count="1">
            <x v="77"/>
          </reference>
        </references>
      </pivotArea>
    </format>
    <format dxfId="3593">
      <pivotArea collapsedLevelsAreSubtotals="1" fieldPosition="0">
        <references count="3">
          <reference field="4294967294" count="1" selected="0">
            <x v="1"/>
          </reference>
          <reference field="0" count="1" selected="0">
            <x v="77"/>
          </reference>
          <reference field="1" count="2">
            <x v="100"/>
            <x v="101"/>
          </reference>
        </references>
      </pivotArea>
    </format>
    <format dxfId="3594">
      <pivotArea collapsedLevelsAreSubtotals="1" fieldPosition="0">
        <references count="2">
          <reference field="4294967294" count="1" selected="0">
            <x v="1"/>
          </reference>
          <reference field="0" count="1">
            <x v="78"/>
          </reference>
        </references>
      </pivotArea>
    </format>
    <format dxfId="3595">
      <pivotArea collapsedLevelsAreSubtotals="1" fieldPosition="0">
        <references count="3">
          <reference field="4294967294" count="1" selected="0">
            <x v="1"/>
          </reference>
          <reference field="0" count="1" selected="0">
            <x v="78"/>
          </reference>
          <reference field="1" count="1">
            <x v="102"/>
          </reference>
        </references>
      </pivotArea>
    </format>
    <format dxfId="3596">
      <pivotArea collapsedLevelsAreSubtotals="1" fieldPosition="0">
        <references count="2">
          <reference field="4294967294" count="1" selected="0">
            <x v="1"/>
          </reference>
          <reference field="0" count="1">
            <x v="79"/>
          </reference>
        </references>
      </pivotArea>
    </format>
    <format dxfId="3597">
      <pivotArea collapsedLevelsAreSubtotals="1" fieldPosition="0">
        <references count="3">
          <reference field="4294967294" count="1" selected="0">
            <x v="1"/>
          </reference>
          <reference field="0" count="1" selected="0">
            <x v="79"/>
          </reference>
          <reference field="1" count="1">
            <x v="103"/>
          </reference>
        </references>
      </pivotArea>
    </format>
    <format dxfId="3598">
      <pivotArea collapsedLevelsAreSubtotals="1" fieldPosition="0">
        <references count="2">
          <reference field="4294967294" count="1" selected="0">
            <x v="1"/>
          </reference>
          <reference field="0" count="1">
            <x v="80"/>
          </reference>
        </references>
      </pivotArea>
    </format>
    <format dxfId="3599">
      <pivotArea collapsedLevelsAreSubtotals="1" fieldPosition="0">
        <references count="3">
          <reference field="4294967294" count="1" selected="0">
            <x v="1"/>
          </reference>
          <reference field="0" count="1" selected="0">
            <x v="80"/>
          </reference>
          <reference field="1" count="1">
            <x v="104"/>
          </reference>
        </references>
      </pivotArea>
    </format>
    <format dxfId="3600">
      <pivotArea collapsedLevelsAreSubtotals="1" fieldPosition="0">
        <references count="3">
          <reference field="4294967294" count="2" selected="0">
            <x v="0"/>
            <x v="1"/>
          </reference>
          <reference field="0" count="1" selected="0">
            <x v="0"/>
          </reference>
          <reference field="1" count="1">
            <x v="12"/>
          </reference>
        </references>
      </pivotArea>
    </format>
    <format dxfId="3601">
      <pivotArea collapsedLevelsAreSubtotals="1" fieldPosition="0">
        <references count="3">
          <reference field="4294967294" count="2" selected="0">
            <x v="0"/>
            <x v="1"/>
          </reference>
          <reference field="0" count="1" selected="0">
            <x v="0"/>
          </reference>
          <reference field="1" count="3">
            <x v="13"/>
            <x v="14"/>
            <x v="15"/>
          </reference>
        </references>
      </pivotArea>
    </format>
    <format dxfId="3602">
      <pivotArea collapsedLevelsAreSubtotals="1" fieldPosition="0">
        <references count="3">
          <reference field="4294967294" count="2" selected="0">
            <x v="0"/>
            <x v="1"/>
          </reference>
          <reference field="0" count="1" selected="0">
            <x v="1"/>
          </reference>
          <reference field="1" count="2">
            <x v="16"/>
            <x v="17"/>
          </reference>
        </references>
      </pivotArea>
    </format>
    <format dxfId="3603">
      <pivotArea collapsedLevelsAreSubtotals="1" fieldPosition="0">
        <references count="3">
          <reference field="4294967294" count="2" selected="0">
            <x v="0"/>
            <x v="1"/>
          </reference>
          <reference field="0" count="1" selected="0">
            <x v="2"/>
          </reference>
          <reference field="1" count="1">
            <x v="18"/>
          </reference>
        </references>
      </pivotArea>
    </format>
    <format dxfId="3604">
      <pivotArea collapsedLevelsAreSubtotals="1" fieldPosition="0">
        <references count="3">
          <reference field="4294967294" count="1" selected="0">
            <x v="0"/>
          </reference>
          <reference field="0" count="1" selected="0">
            <x v="3"/>
          </reference>
          <reference field="1" count="1">
            <x v="19"/>
          </reference>
        </references>
      </pivotArea>
    </format>
    <format dxfId="3605">
      <pivotArea collapsedLevelsAreSubtotals="1" fieldPosition="0">
        <references count="3">
          <reference field="4294967294" count="1" selected="0">
            <x v="0"/>
          </reference>
          <reference field="0" count="1" selected="0">
            <x v="4"/>
          </reference>
          <reference field="1" count="1">
            <x v="20"/>
          </reference>
        </references>
      </pivotArea>
    </format>
    <format dxfId="3606">
      <pivotArea collapsedLevelsAreSubtotals="1" fieldPosition="0">
        <references count="3">
          <reference field="4294967294" count="1" selected="0">
            <x v="0"/>
          </reference>
          <reference field="0" count="1" selected="0">
            <x v="5"/>
          </reference>
          <reference field="1" count="1">
            <x v="21"/>
          </reference>
        </references>
      </pivotArea>
    </format>
    <format dxfId="3607">
      <pivotArea collapsedLevelsAreSubtotals="1" fieldPosition="0">
        <references count="3">
          <reference field="4294967294" count="1" selected="0">
            <x v="0"/>
          </reference>
          <reference field="0" count="1" selected="0">
            <x v="6"/>
          </reference>
          <reference field="1" count="1">
            <x v="22"/>
          </reference>
        </references>
      </pivotArea>
    </format>
    <format dxfId="3608">
      <pivotArea collapsedLevelsAreSubtotals="1" fieldPosition="0">
        <references count="3">
          <reference field="4294967294" count="1" selected="0">
            <x v="0"/>
          </reference>
          <reference field="0" count="1" selected="0">
            <x v="7"/>
          </reference>
          <reference field="1" count="1">
            <x v="23"/>
          </reference>
        </references>
      </pivotArea>
    </format>
    <format dxfId="3609">
      <pivotArea collapsedLevelsAreSubtotals="1" fieldPosition="0">
        <references count="3">
          <reference field="4294967294" count="1" selected="0">
            <x v="0"/>
          </reference>
          <reference field="0" count="1" selected="0">
            <x v="8"/>
          </reference>
          <reference field="1" count="1">
            <x v="24"/>
          </reference>
        </references>
      </pivotArea>
    </format>
    <format dxfId="3610">
      <pivotArea collapsedLevelsAreSubtotals="1" fieldPosition="0">
        <references count="3">
          <reference field="4294967294" count="1" selected="0">
            <x v="0"/>
          </reference>
          <reference field="0" count="1" selected="0">
            <x v="9"/>
          </reference>
          <reference field="1" count="2">
            <x v="25"/>
            <x v="26"/>
          </reference>
        </references>
      </pivotArea>
    </format>
    <format dxfId="3611">
      <pivotArea collapsedLevelsAreSubtotals="1" fieldPosition="0">
        <references count="3">
          <reference field="4294967294" count="1" selected="0">
            <x v="0"/>
          </reference>
          <reference field="0" count="1" selected="0">
            <x v="10"/>
          </reference>
          <reference field="1" count="1">
            <x v="27"/>
          </reference>
        </references>
      </pivotArea>
    </format>
    <format dxfId="3612">
      <pivotArea collapsedLevelsAreSubtotals="1" fieldPosition="0">
        <references count="3">
          <reference field="4294967294" count="1" selected="0">
            <x v="0"/>
          </reference>
          <reference field="0" count="1" selected="0">
            <x v="11"/>
          </reference>
          <reference field="1" count="1">
            <x v="28"/>
          </reference>
        </references>
      </pivotArea>
    </format>
    <format dxfId="3613">
      <pivotArea collapsedLevelsAreSubtotals="1" fieldPosition="0">
        <references count="3">
          <reference field="4294967294" count="1" selected="0">
            <x v="0"/>
          </reference>
          <reference field="0" count="1" selected="0">
            <x v="12"/>
          </reference>
          <reference field="1" count="1">
            <x v="29"/>
          </reference>
        </references>
      </pivotArea>
    </format>
    <format dxfId="3614">
      <pivotArea collapsedLevelsAreSubtotals="1" fieldPosition="0">
        <references count="3">
          <reference field="4294967294" count="1" selected="0">
            <x v="0"/>
          </reference>
          <reference field="0" count="1" selected="0">
            <x v="13"/>
          </reference>
          <reference field="1" count="1">
            <x v="30"/>
          </reference>
        </references>
      </pivotArea>
    </format>
    <format dxfId="3615">
      <pivotArea collapsedLevelsAreSubtotals="1" fieldPosition="0">
        <references count="3">
          <reference field="4294967294" count="1" selected="0">
            <x v="0"/>
          </reference>
          <reference field="0" count="1" selected="0">
            <x v="14"/>
          </reference>
          <reference field="1" count="2">
            <x v="31"/>
            <x v="32"/>
          </reference>
        </references>
      </pivotArea>
    </format>
    <format dxfId="3616">
      <pivotArea collapsedLevelsAreSubtotals="1" fieldPosition="0">
        <references count="3">
          <reference field="4294967294" count="1" selected="0">
            <x v="0"/>
          </reference>
          <reference field="0" count="1" selected="0">
            <x v="15"/>
          </reference>
          <reference field="1" count="1">
            <x v="33"/>
          </reference>
        </references>
      </pivotArea>
    </format>
    <format dxfId="3617">
      <pivotArea collapsedLevelsAreSubtotals="1" fieldPosition="0">
        <references count="3">
          <reference field="4294967294" count="1" selected="0">
            <x v="0"/>
          </reference>
          <reference field="0" count="1" selected="0">
            <x v="16"/>
          </reference>
          <reference field="1" count="1">
            <x v="34"/>
          </reference>
        </references>
      </pivotArea>
    </format>
    <format dxfId="3618">
      <pivotArea collapsedLevelsAreSubtotals="1" fieldPosition="0">
        <references count="3">
          <reference field="4294967294" count="1" selected="0">
            <x v="0"/>
          </reference>
          <reference field="0" count="1" selected="0">
            <x v="17"/>
          </reference>
          <reference field="1" count="1">
            <x v="35"/>
          </reference>
        </references>
      </pivotArea>
    </format>
    <format dxfId="3619">
      <pivotArea collapsedLevelsAreSubtotals="1" fieldPosition="0">
        <references count="3">
          <reference field="4294967294" count="1" selected="0">
            <x v="0"/>
          </reference>
          <reference field="0" count="1" selected="0">
            <x v="18"/>
          </reference>
          <reference field="1" count="1">
            <x v="36"/>
          </reference>
        </references>
      </pivotArea>
    </format>
    <format dxfId="3620">
      <pivotArea collapsedLevelsAreSubtotals="1" fieldPosition="0">
        <references count="3">
          <reference field="4294967294" count="1" selected="0">
            <x v="0"/>
          </reference>
          <reference field="0" count="1" selected="0">
            <x v="19"/>
          </reference>
          <reference field="1" count="1">
            <x v="37"/>
          </reference>
        </references>
      </pivotArea>
    </format>
    <format dxfId="3621">
      <pivotArea collapsedLevelsAreSubtotals="1" fieldPosition="0">
        <references count="3">
          <reference field="4294967294" count="1" selected="0">
            <x v="0"/>
          </reference>
          <reference field="0" count="1" selected="0">
            <x v="20"/>
          </reference>
          <reference field="1" count="1">
            <x v="38"/>
          </reference>
        </references>
      </pivotArea>
    </format>
    <format dxfId="3622">
      <pivotArea collapsedLevelsAreSubtotals="1" fieldPosition="0">
        <references count="3">
          <reference field="4294967294" count="1" selected="0">
            <x v="0"/>
          </reference>
          <reference field="0" count="1" selected="0">
            <x v="21"/>
          </reference>
          <reference field="1" count="1">
            <x v="39"/>
          </reference>
        </references>
      </pivotArea>
    </format>
    <format dxfId="3623">
      <pivotArea collapsedLevelsAreSubtotals="1" fieldPosition="0">
        <references count="3">
          <reference field="4294967294" count="1" selected="0">
            <x v="0"/>
          </reference>
          <reference field="0" count="1" selected="0">
            <x v="22"/>
          </reference>
          <reference field="1" count="1">
            <x v="40"/>
          </reference>
        </references>
      </pivotArea>
    </format>
    <format dxfId="3624">
      <pivotArea collapsedLevelsAreSubtotals="1" fieldPosition="0">
        <references count="3">
          <reference field="4294967294" count="1" selected="0">
            <x v="0"/>
          </reference>
          <reference field="0" count="1" selected="0">
            <x v="23"/>
          </reference>
          <reference field="1" count="1">
            <x v="41"/>
          </reference>
        </references>
      </pivotArea>
    </format>
    <format dxfId="3625">
      <pivotArea collapsedLevelsAreSubtotals="1" fieldPosition="0">
        <references count="3">
          <reference field="4294967294" count="1" selected="0">
            <x v="0"/>
          </reference>
          <reference field="0" count="1" selected="0">
            <x v="23"/>
          </reference>
          <reference field="1" count="1">
            <x v="42"/>
          </reference>
        </references>
      </pivotArea>
    </format>
    <format dxfId="3626">
      <pivotArea collapsedLevelsAreSubtotals="1" fieldPosition="0">
        <references count="3">
          <reference field="4294967294" count="1" selected="0">
            <x v="0"/>
          </reference>
          <reference field="0" count="1" selected="0">
            <x v="23"/>
          </reference>
          <reference field="1" count="1">
            <x v="43"/>
          </reference>
        </references>
      </pivotArea>
    </format>
    <format dxfId="3627">
      <pivotArea collapsedLevelsAreSubtotals="1" fieldPosition="0">
        <references count="3">
          <reference field="4294967294" count="1" selected="0">
            <x v="0"/>
          </reference>
          <reference field="0" count="1" selected="0">
            <x v="24"/>
          </reference>
          <reference field="1" count="1">
            <x v="44"/>
          </reference>
        </references>
      </pivotArea>
    </format>
    <format dxfId="3628">
      <pivotArea collapsedLevelsAreSubtotals="1" fieldPosition="0">
        <references count="3">
          <reference field="4294967294" count="1" selected="0">
            <x v="0"/>
          </reference>
          <reference field="0" count="1" selected="0">
            <x v="24"/>
          </reference>
          <reference field="1" count="1">
            <x v="45"/>
          </reference>
        </references>
      </pivotArea>
    </format>
    <format dxfId="3629">
      <pivotArea collapsedLevelsAreSubtotals="1" fieldPosition="0">
        <references count="3">
          <reference field="4294967294" count="1" selected="0">
            <x v="0"/>
          </reference>
          <reference field="0" count="1" selected="0">
            <x v="24"/>
          </reference>
          <reference field="1" count="1">
            <x v="46"/>
          </reference>
        </references>
      </pivotArea>
    </format>
    <format dxfId="3630">
      <pivotArea collapsedLevelsAreSubtotals="1" fieldPosition="0">
        <references count="3">
          <reference field="4294967294" count="1" selected="0">
            <x v="0"/>
          </reference>
          <reference field="0" count="1" selected="0">
            <x v="25"/>
          </reference>
          <reference field="1" count="1">
            <x v="47"/>
          </reference>
        </references>
      </pivotArea>
    </format>
    <format dxfId="3631">
      <pivotArea collapsedLevelsAreSubtotals="1" fieldPosition="0">
        <references count="3">
          <reference field="4294967294" count="1" selected="0">
            <x v="0"/>
          </reference>
          <reference field="0" count="1" selected="0">
            <x v="25"/>
          </reference>
          <reference field="1" count="1">
            <x v="48"/>
          </reference>
        </references>
      </pivotArea>
    </format>
    <format dxfId="3632">
      <pivotArea collapsedLevelsAreSubtotals="1" fieldPosition="0">
        <references count="3">
          <reference field="4294967294" count="1" selected="0">
            <x v="0"/>
          </reference>
          <reference field="0" count="1" selected="0">
            <x v="26"/>
          </reference>
          <reference field="1" count="1">
            <x v="49"/>
          </reference>
        </references>
      </pivotArea>
    </format>
    <format dxfId="3633">
      <pivotArea collapsedLevelsAreSubtotals="1" fieldPosition="0">
        <references count="3">
          <reference field="4294967294" count="1" selected="0">
            <x v="0"/>
          </reference>
          <reference field="0" count="1" selected="0">
            <x v="26"/>
          </reference>
          <reference field="1" count="1">
            <x v="50"/>
          </reference>
        </references>
      </pivotArea>
    </format>
    <format dxfId="3634">
      <pivotArea collapsedLevelsAreSubtotals="1" fieldPosition="0">
        <references count="3">
          <reference field="4294967294" count="1" selected="0">
            <x v="0"/>
          </reference>
          <reference field="0" count="1" selected="0">
            <x v="27"/>
          </reference>
          <reference field="1" count="1">
            <x v="51"/>
          </reference>
        </references>
      </pivotArea>
    </format>
    <format dxfId="3635">
      <pivotArea collapsedLevelsAreSubtotals="1" fieldPosition="0">
        <references count="3">
          <reference field="4294967294" count="1" selected="0">
            <x v="0"/>
          </reference>
          <reference field="0" count="1" selected="0">
            <x v="28"/>
          </reference>
          <reference field="1" count="1">
            <x v="52"/>
          </reference>
        </references>
      </pivotArea>
    </format>
    <format dxfId="3636">
      <pivotArea collapsedLevelsAreSubtotals="1" fieldPosition="0">
        <references count="3">
          <reference field="4294967294" count="1" selected="0">
            <x v="0"/>
          </reference>
          <reference field="0" count="1" selected="0">
            <x v="29"/>
          </reference>
          <reference field="1" count="1">
            <x v="53"/>
          </reference>
        </references>
      </pivotArea>
    </format>
    <format dxfId="3637">
      <pivotArea collapsedLevelsAreSubtotals="1" fieldPosition="0">
        <references count="3">
          <reference field="4294967294" count="1" selected="0">
            <x v="0"/>
          </reference>
          <reference field="0" count="1" selected="0">
            <x v="30"/>
          </reference>
          <reference field="1" count="1">
            <x v="54"/>
          </reference>
        </references>
      </pivotArea>
    </format>
    <format dxfId="3638">
      <pivotArea collapsedLevelsAreSubtotals="1" fieldPosition="0">
        <references count="3">
          <reference field="4294967294" count="1" selected="0">
            <x v="0"/>
          </reference>
          <reference field="0" count="1" selected="0">
            <x v="31"/>
          </reference>
          <reference field="1" count="1">
            <x v="55"/>
          </reference>
        </references>
      </pivotArea>
    </format>
    <format dxfId="3639">
      <pivotArea collapsedLevelsAreSubtotals="1" fieldPosition="0">
        <references count="3">
          <reference field="4294967294" count="1" selected="0">
            <x v="0"/>
          </reference>
          <reference field="0" count="1" selected="0">
            <x v="32"/>
          </reference>
          <reference field="1" count="1">
            <x v="56"/>
          </reference>
        </references>
      </pivotArea>
    </format>
    <format dxfId="3640">
      <pivotArea collapsedLevelsAreSubtotals="1" fieldPosition="0">
        <references count="3">
          <reference field="4294967294" count="1" selected="0">
            <x v="0"/>
          </reference>
          <reference field="0" count="1" selected="0">
            <x v="33"/>
          </reference>
          <reference field="1" count="1">
            <x v="57"/>
          </reference>
        </references>
      </pivotArea>
    </format>
    <format dxfId="3641">
      <pivotArea collapsedLevelsAreSubtotals="1" fieldPosition="0">
        <references count="3">
          <reference field="4294967294" count="1" selected="0">
            <x v="0"/>
          </reference>
          <reference field="0" count="1" selected="0">
            <x v="34"/>
          </reference>
          <reference field="1" count="1">
            <x v="9"/>
          </reference>
        </references>
      </pivotArea>
    </format>
    <format dxfId="3642">
      <pivotArea collapsedLevelsAreSubtotals="1" fieldPosition="0">
        <references count="3">
          <reference field="4294967294" count="1" selected="0">
            <x v="0"/>
          </reference>
          <reference field="0" count="1" selected="0">
            <x v="35"/>
          </reference>
          <reference field="1" count="1">
            <x v="58"/>
          </reference>
        </references>
      </pivotArea>
    </format>
    <format dxfId="3643">
      <pivotArea collapsedLevelsAreSubtotals="1" fieldPosition="0">
        <references count="3">
          <reference field="4294967294" count="1" selected="0">
            <x v="0"/>
          </reference>
          <reference field="0" count="1" selected="0">
            <x v="36"/>
          </reference>
          <reference field="1" count="1">
            <x v="59"/>
          </reference>
        </references>
      </pivotArea>
    </format>
    <format dxfId="3644">
      <pivotArea collapsedLevelsAreSubtotals="1" fieldPosition="0">
        <references count="3">
          <reference field="4294967294" count="1" selected="0">
            <x v="0"/>
          </reference>
          <reference field="0" count="1" selected="0">
            <x v="36"/>
          </reference>
          <reference field="1" count="1">
            <x v="60"/>
          </reference>
        </references>
      </pivotArea>
    </format>
    <format dxfId="3645">
      <pivotArea collapsedLevelsAreSubtotals="1" fieldPosition="0">
        <references count="3">
          <reference field="4294967294" count="1" selected="0">
            <x v="0"/>
          </reference>
          <reference field="0" count="1" selected="0">
            <x v="37"/>
          </reference>
          <reference field="1" count="1">
            <x v="0"/>
          </reference>
        </references>
      </pivotArea>
    </format>
    <format dxfId="3646">
      <pivotArea collapsedLevelsAreSubtotals="1" fieldPosition="0">
        <references count="3">
          <reference field="4294967294" count="1" selected="0">
            <x v="0"/>
          </reference>
          <reference field="0" count="1" selected="0">
            <x v="37"/>
          </reference>
          <reference field="1" count="1">
            <x v="1"/>
          </reference>
        </references>
      </pivotArea>
    </format>
    <format dxfId="3647">
      <pivotArea collapsedLevelsAreSubtotals="1" fieldPosition="0">
        <references count="3">
          <reference field="4294967294" count="1" selected="0">
            <x v="0"/>
          </reference>
          <reference field="0" count="1" selected="0">
            <x v="38"/>
          </reference>
          <reference field="1" count="1">
            <x v="61"/>
          </reference>
        </references>
      </pivotArea>
    </format>
    <format dxfId="3648">
      <pivotArea collapsedLevelsAreSubtotals="1" fieldPosition="0">
        <references count="3">
          <reference field="4294967294" count="1" selected="0">
            <x v="0"/>
          </reference>
          <reference field="0" count="1" selected="0">
            <x v="38"/>
          </reference>
          <reference field="1" count="1">
            <x v="62"/>
          </reference>
        </references>
      </pivotArea>
    </format>
    <format dxfId="3649">
      <pivotArea collapsedLevelsAreSubtotals="1" fieldPosition="0">
        <references count="3">
          <reference field="4294967294" count="1" selected="0">
            <x v="0"/>
          </reference>
          <reference field="0" count="1" selected="0">
            <x v="39"/>
          </reference>
          <reference field="1" count="1">
            <x v="10"/>
          </reference>
        </references>
      </pivotArea>
    </format>
    <format dxfId="3650">
      <pivotArea collapsedLevelsAreSubtotals="1" fieldPosition="0">
        <references count="3">
          <reference field="4294967294" count="1" selected="0">
            <x v="0"/>
          </reference>
          <reference field="0" count="1" selected="0">
            <x v="40"/>
          </reference>
          <reference field="1" count="1">
            <x v="63"/>
          </reference>
        </references>
      </pivotArea>
    </format>
    <format dxfId="3651">
      <pivotArea collapsedLevelsAreSubtotals="1" fieldPosition="0">
        <references count="3">
          <reference field="4294967294" count="1" selected="0">
            <x v="0"/>
          </reference>
          <reference field="0" count="1" selected="0">
            <x v="41"/>
          </reference>
          <reference field="1" count="1">
            <x v="64"/>
          </reference>
        </references>
      </pivotArea>
    </format>
    <format dxfId="3652">
      <pivotArea collapsedLevelsAreSubtotals="1" fieldPosition="0">
        <references count="3">
          <reference field="4294967294" count="1" selected="0">
            <x v="0"/>
          </reference>
          <reference field="0" count="1" selected="0">
            <x v="42"/>
          </reference>
          <reference field="1" count="1">
            <x v="4"/>
          </reference>
        </references>
      </pivotArea>
    </format>
    <format dxfId="3653">
      <pivotArea collapsedLevelsAreSubtotals="1" fieldPosition="0">
        <references count="3">
          <reference field="4294967294" count="1" selected="0">
            <x v="0"/>
          </reference>
          <reference field="0" count="1" selected="0">
            <x v="43"/>
          </reference>
          <reference field="1" count="1">
            <x v="65"/>
          </reference>
        </references>
      </pivotArea>
    </format>
    <format dxfId="3654">
      <pivotArea collapsedLevelsAreSubtotals="1" fieldPosition="0">
        <references count="3">
          <reference field="4294967294" count="1" selected="0">
            <x v="0"/>
          </reference>
          <reference field="0" count="1" selected="0">
            <x v="43"/>
          </reference>
          <reference field="1" count="1">
            <x v="66"/>
          </reference>
        </references>
      </pivotArea>
    </format>
    <format dxfId="3655">
      <pivotArea collapsedLevelsAreSubtotals="1" fieldPosition="0">
        <references count="3">
          <reference field="4294967294" count="1" selected="0">
            <x v="0"/>
          </reference>
          <reference field="0" count="1" selected="0">
            <x v="44"/>
          </reference>
          <reference field="1" count="1">
            <x v="67"/>
          </reference>
        </references>
      </pivotArea>
    </format>
    <format dxfId="3656">
      <pivotArea collapsedLevelsAreSubtotals="1" fieldPosition="0">
        <references count="3">
          <reference field="4294967294" count="1" selected="0">
            <x v="0"/>
          </reference>
          <reference field="0" count="1" selected="0">
            <x v="45"/>
          </reference>
          <reference field="1" count="1">
            <x v="68"/>
          </reference>
        </references>
      </pivotArea>
    </format>
    <format dxfId="3657">
      <pivotArea collapsedLevelsAreSubtotals="1" fieldPosition="0">
        <references count="3">
          <reference field="4294967294" count="1" selected="0">
            <x v="0"/>
          </reference>
          <reference field="0" count="1" selected="0">
            <x v="46"/>
          </reference>
          <reference field="1" count="1">
            <x v="69"/>
          </reference>
        </references>
      </pivotArea>
    </format>
    <format dxfId="3658">
      <pivotArea collapsedLevelsAreSubtotals="1" fieldPosition="0">
        <references count="3">
          <reference field="4294967294" count="1" selected="0">
            <x v="0"/>
          </reference>
          <reference field="0" count="1" selected="0">
            <x v="47"/>
          </reference>
          <reference field="1" count="1">
            <x v="70"/>
          </reference>
        </references>
      </pivotArea>
    </format>
    <format dxfId="3659">
      <pivotArea collapsedLevelsAreSubtotals="1" fieldPosition="0">
        <references count="3">
          <reference field="4294967294" count="1" selected="0">
            <x v="0"/>
          </reference>
          <reference field="0" count="1" selected="0">
            <x v="48"/>
          </reference>
          <reference field="1" count="1">
            <x v="71"/>
          </reference>
        </references>
      </pivotArea>
    </format>
    <format dxfId="3660">
      <pivotArea collapsedLevelsAreSubtotals="1" fieldPosition="0">
        <references count="3">
          <reference field="4294967294" count="1" selected="0">
            <x v="0"/>
          </reference>
          <reference field="0" count="1" selected="0">
            <x v="49"/>
          </reference>
          <reference field="1" count="1">
            <x v="72"/>
          </reference>
        </references>
      </pivotArea>
    </format>
    <format dxfId="3661">
      <pivotArea collapsedLevelsAreSubtotals="1" fieldPosition="0">
        <references count="3">
          <reference field="4294967294" count="1" selected="0">
            <x v="0"/>
          </reference>
          <reference field="0" count="1" selected="0">
            <x v="50"/>
          </reference>
          <reference field="1" count="1">
            <x v="73"/>
          </reference>
        </references>
      </pivotArea>
    </format>
    <format dxfId="3662">
      <pivotArea collapsedLevelsAreSubtotals="1" fieldPosition="0">
        <references count="3">
          <reference field="4294967294" count="1" selected="0">
            <x v="0"/>
          </reference>
          <reference field="0" count="1" selected="0">
            <x v="51"/>
          </reference>
          <reference field="1" count="1">
            <x v="74"/>
          </reference>
        </references>
      </pivotArea>
    </format>
    <format dxfId="3663">
      <pivotArea collapsedLevelsAreSubtotals="1" fieldPosition="0">
        <references count="3">
          <reference field="4294967294" count="1" selected="0">
            <x v="0"/>
          </reference>
          <reference field="0" count="1" selected="0">
            <x v="52"/>
          </reference>
          <reference field="1" count="1">
            <x v="75"/>
          </reference>
        </references>
      </pivotArea>
    </format>
    <format dxfId="3664">
      <pivotArea collapsedLevelsAreSubtotals="1" fieldPosition="0">
        <references count="3">
          <reference field="4294967294" count="1" selected="0">
            <x v="0"/>
          </reference>
          <reference field="0" count="1" selected="0">
            <x v="53"/>
          </reference>
          <reference field="1" count="1">
            <x v="76"/>
          </reference>
        </references>
      </pivotArea>
    </format>
    <format dxfId="3665">
      <pivotArea collapsedLevelsAreSubtotals="1" fieldPosition="0">
        <references count="3">
          <reference field="4294967294" count="1" selected="0">
            <x v="0"/>
          </reference>
          <reference field="0" count="1" selected="0">
            <x v="54"/>
          </reference>
          <reference field="1" count="1">
            <x v="77"/>
          </reference>
        </references>
      </pivotArea>
    </format>
    <format dxfId="3666">
      <pivotArea collapsedLevelsAreSubtotals="1" fieldPosition="0">
        <references count="3">
          <reference field="4294967294" count="1" selected="0">
            <x v="0"/>
          </reference>
          <reference field="0" count="1" selected="0">
            <x v="55"/>
          </reference>
          <reference field="1" count="1">
            <x v="8"/>
          </reference>
        </references>
      </pivotArea>
    </format>
    <format dxfId="3667">
      <pivotArea collapsedLevelsAreSubtotals="1" fieldPosition="0">
        <references count="3">
          <reference field="4294967294" count="1" selected="0">
            <x v="0"/>
          </reference>
          <reference field="0" count="1" selected="0">
            <x v="56"/>
          </reference>
          <reference field="1" count="1">
            <x v="78"/>
          </reference>
        </references>
      </pivotArea>
    </format>
    <format dxfId="3668">
      <pivotArea collapsedLevelsAreSubtotals="1" fieldPosition="0">
        <references count="3">
          <reference field="4294967294" count="1" selected="0">
            <x v="0"/>
          </reference>
          <reference field="0" count="1" selected="0">
            <x v="57"/>
          </reference>
          <reference field="1" count="1">
            <x v="79"/>
          </reference>
        </references>
      </pivotArea>
    </format>
    <format dxfId="3669">
      <pivotArea collapsedLevelsAreSubtotals="1" fieldPosition="0">
        <references count="3">
          <reference field="4294967294" count="1" selected="0">
            <x v="0"/>
          </reference>
          <reference field="0" count="1" selected="0">
            <x v="58"/>
          </reference>
          <reference field="1" count="1">
            <x v="80"/>
          </reference>
        </references>
      </pivotArea>
    </format>
    <format dxfId="3670">
      <pivotArea collapsedLevelsAreSubtotals="1" fieldPosition="0">
        <references count="3">
          <reference field="4294967294" count="1" selected="0">
            <x v="0"/>
          </reference>
          <reference field="0" count="1" selected="0">
            <x v="58"/>
          </reference>
          <reference field="1" count="1">
            <x v="81"/>
          </reference>
        </references>
      </pivotArea>
    </format>
    <format dxfId="3671">
      <pivotArea collapsedLevelsAreSubtotals="1" fieldPosition="0">
        <references count="3">
          <reference field="4294967294" count="1" selected="0">
            <x v="0"/>
          </reference>
          <reference field="0" count="1" selected="0">
            <x v="59"/>
          </reference>
          <reference field="1" count="1">
            <x v="82"/>
          </reference>
        </references>
      </pivotArea>
    </format>
    <format dxfId="3672">
      <pivotArea collapsedLevelsAreSubtotals="1" fieldPosition="0">
        <references count="3">
          <reference field="4294967294" count="1" selected="0">
            <x v="0"/>
          </reference>
          <reference field="0" count="1" selected="0">
            <x v="60"/>
          </reference>
          <reference field="1" count="1">
            <x v="83"/>
          </reference>
        </references>
      </pivotArea>
    </format>
    <format dxfId="3673">
      <pivotArea collapsedLevelsAreSubtotals="1" fieldPosition="0">
        <references count="3">
          <reference field="4294967294" count="1" selected="0">
            <x v="0"/>
          </reference>
          <reference field="0" count="1" selected="0">
            <x v="61"/>
          </reference>
          <reference field="1" count="1">
            <x v="5"/>
          </reference>
        </references>
      </pivotArea>
    </format>
    <format dxfId="3674">
      <pivotArea collapsedLevelsAreSubtotals="1" fieldPosition="0">
        <references count="3">
          <reference field="4294967294" count="1" selected="0">
            <x v="0"/>
          </reference>
          <reference field="0" count="1" selected="0">
            <x v="61"/>
          </reference>
          <reference field="1" count="1">
            <x v="6"/>
          </reference>
        </references>
      </pivotArea>
    </format>
    <format dxfId="3675">
      <pivotArea collapsedLevelsAreSubtotals="1" fieldPosition="0">
        <references count="3">
          <reference field="4294967294" count="1" selected="0">
            <x v="0"/>
          </reference>
          <reference field="0" count="1" selected="0">
            <x v="61"/>
          </reference>
          <reference field="1" count="1">
            <x v="7"/>
          </reference>
        </references>
      </pivotArea>
    </format>
    <format dxfId="3676">
      <pivotArea collapsedLevelsAreSubtotals="1" fieldPosition="0">
        <references count="3">
          <reference field="4294967294" count="1" selected="0">
            <x v="0"/>
          </reference>
          <reference field="0" count="1" selected="0">
            <x v="62"/>
          </reference>
          <reference field="1" count="1">
            <x v="84"/>
          </reference>
        </references>
      </pivotArea>
    </format>
    <format dxfId="3677">
      <pivotArea collapsedLevelsAreSubtotals="1" fieldPosition="0">
        <references count="3">
          <reference field="4294967294" count="1" selected="0">
            <x v="0"/>
          </reference>
          <reference field="0" count="1" selected="0">
            <x v="62"/>
          </reference>
          <reference field="1" count="1">
            <x v="85"/>
          </reference>
        </references>
      </pivotArea>
    </format>
    <format dxfId="3678">
      <pivotArea collapsedLevelsAreSubtotals="1" fieldPosition="0">
        <references count="3">
          <reference field="4294967294" count="1" selected="0">
            <x v="0"/>
          </reference>
          <reference field="0" count="1" selected="0">
            <x v="63"/>
          </reference>
          <reference field="1" count="1">
            <x v="2"/>
          </reference>
        </references>
      </pivotArea>
    </format>
    <format dxfId="3679">
      <pivotArea collapsedLevelsAreSubtotals="1" fieldPosition="0">
        <references count="3">
          <reference field="4294967294" count="1" selected="0">
            <x v="0"/>
          </reference>
          <reference field="0" count="1" selected="0">
            <x v="64"/>
          </reference>
          <reference field="1" count="1">
            <x v="86"/>
          </reference>
        </references>
      </pivotArea>
    </format>
    <format dxfId="3680">
      <pivotArea collapsedLevelsAreSubtotals="1" fieldPosition="0">
        <references count="3">
          <reference field="4294967294" count="1" selected="0">
            <x v="0"/>
          </reference>
          <reference field="0" count="1" selected="0">
            <x v="65"/>
          </reference>
          <reference field="1" count="1">
            <x v="87"/>
          </reference>
        </references>
      </pivotArea>
    </format>
    <format dxfId="3681">
      <pivotArea collapsedLevelsAreSubtotals="1" fieldPosition="0">
        <references count="3">
          <reference field="4294967294" count="1" selected="0">
            <x v="0"/>
          </reference>
          <reference field="0" count="1" selected="0">
            <x v="66"/>
          </reference>
          <reference field="1" count="1">
            <x v="88"/>
          </reference>
        </references>
      </pivotArea>
    </format>
    <format dxfId="3682">
      <pivotArea collapsedLevelsAreSubtotals="1" fieldPosition="0">
        <references count="3">
          <reference field="4294967294" count="1" selected="0">
            <x v="0"/>
          </reference>
          <reference field="0" count="1" selected="0">
            <x v="67"/>
          </reference>
          <reference field="1" count="1">
            <x v="89"/>
          </reference>
        </references>
      </pivotArea>
    </format>
    <format dxfId="3683">
      <pivotArea collapsedLevelsAreSubtotals="1" fieldPosition="0">
        <references count="3">
          <reference field="4294967294" count="1" selected="0">
            <x v="0"/>
          </reference>
          <reference field="0" count="1" selected="0">
            <x v="68"/>
          </reference>
          <reference field="1" count="1">
            <x v="90"/>
          </reference>
        </references>
      </pivotArea>
    </format>
    <format dxfId="3684">
      <pivotArea collapsedLevelsAreSubtotals="1" fieldPosition="0">
        <references count="3">
          <reference field="4294967294" count="1" selected="0">
            <x v="0"/>
          </reference>
          <reference field="0" count="1" selected="0">
            <x v="68"/>
          </reference>
          <reference field="1" count="1">
            <x v="91"/>
          </reference>
        </references>
      </pivotArea>
    </format>
    <format dxfId="3685">
      <pivotArea collapsedLevelsAreSubtotals="1" fieldPosition="0">
        <references count="3">
          <reference field="4294967294" count="1" selected="0">
            <x v="0"/>
          </reference>
          <reference field="0" count="1" selected="0">
            <x v="69"/>
          </reference>
          <reference field="1" count="1">
            <x v="11"/>
          </reference>
        </references>
      </pivotArea>
    </format>
    <format dxfId="3686">
      <pivotArea collapsedLevelsAreSubtotals="1" fieldPosition="0">
        <references count="3">
          <reference field="4294967294" count="1" selected="0">
            <x v="0"/>
          </reference>
          <reference field="0" count="1" selected="0">
            <x v="70"/>
          </reference>
          <reference field="1" count="1">
            <x v="92"/>
          </reference>
        </references>
      </pivotArea>
    </format>
    <format dxfId="3687">
      <pivotArea collapsedLevelsAreSubtotals="1" fieldPosition="0">
        <references count="3">
          <reference field="4294967294" count="1" selected="0">
            <x v="0"/>
          </reference>
          <reference field="0" count="1" selected="0">
            <x v="70"/>
          </reference>
          <reference field="1" count="1">
            <x v="93"/>
          </reference>
        </references>
      </pivotArea>
    </format>
    <format dxfId="3688">
      <pivotArea collapsedLevelsAreSubtotals="1" fieldPosition="0">
        <references count="3">
          <reference field="4294967294" count="1" selected="0">
            <x v="0"/>
          </reference>
          <reference field="0" count="1" selected="0">
            <x v="71"/>
          </reference>
          <reference field="1" count="1">
            <x v="94"/>
          </reference>
        </references>
      </pivotArea>
    </format>
    <format dxfId="3689">
      <pivotArea collapsedLevelsAreSubtotals="1" fieldPosition="0">
        <references count="3">
          <reference field="4294967294" count="1" selected="0">
            <x v="0"/>
          </reference>
          <reference field="0" count="1" selected="0">
            <x v="72"/>
          </reference>
          <reference field="1" count="1">
            <x v="95"/>
          </reference>
        </references>
      </pivotArea>
    </format>
    <format dxfId="3690">
      <pivotArea collapsedLevelsAreSubtotals="1" fieldPosition="0">
        <references count="3">
          <reference field="4294967294" count="1" selected="0">
            <x v="0"/>
          </reference>
          <reference field="0" count="1" selected="0">
            <x v="73"/>
          </reference>
          <reference field="1" count="1">
            <x v="96"/>
          </reference>
        </references>
      </pivotArea>
    </format>
    <format dxfId="3691">
      <pivotArea collapsedLevelsAreSubtotals="1" fieldPosition="0">
        <references count="3">
          <reference field="4294967294" count="1" selected="0">
            <x v="0"/>
          </reference>
          <reference field="0" count="1" selected="0">
            <x v="73"/>
          </reference>
          <reference field="1" count="1">
            <x v="97"/>
          </reference>
        </references>
      </pivotArea>
    </format>
    <format dxfId="3692">
      <pivotArea collapsedLevelsAreSubtotals="1" fieldPosition="0">
        <references count="3">
          <reference field="4294967294" count="1" selected="0">
            <x v="0"/>
          </reference>
          <reference field="0" count="1" selected="0">
            <x v="74"/>
          </reference>
          <reference field="1" count="1">
            <x v="98"/>
          </reference>
        </references>
      </pivotArea>
    </format>
    <format dxfId="3693">
      <pivotArea collapsedLevelsAreSubtotals="1" fieldPosition="0">
        <references count="3">
          <reference field="4294967294" count="1" selected="0">
            <x v="0"/>
          </reference>
          <reference field="0" count="1" selected="0">
            <x v="75"/>
          </reference>
          <reference field="1" count="1">
            <x v="3"/>
          </reference>
        </references>
      </pivotArea>
    </format>
    <format dxfId="3694">
      <pivotArea collapsedLevelsAreSubtotals="1" fieldPosition="0">
        <references count="3">
          <reference field="4294967294" count="1" selected="0">
            <x v="0"/>
          </reference>
          <reference field="0" count="1" selected="0">
            <x v="76"/>
          </reference>
          <reference field="1" count="1">
            <x v="99"/>
          </reference>
        </references>
      </pivotArea>
    </format>
    <format dxfId="3695">
      <pivotArea collapsedLevelsAreSubtotals="1" fieldPosition="0">
        <references count="3">
          <reference field="4294967294" count="1" selected="0">
            <x v="0"/>
          </reference>
          <reference field="0" count="1" selected="0">
            <x v="77"/>
          </reference>
          <reference field="1" count="1">
            <x v="100"/>
          </reference>
        </references>
      </pivotArea>
    </format>
    <format dxfId="3696">
      <pivotArea collapsedLevelsAreSubtotals="1" fieldPosition="0">
        <references count="3">
          <reference field="4294967294" count="1" selected="0">
            <x v="0"/>
          </reference>
          <reference field="0" count="1" selected="0">
            <x v="77"/>
          </reference>
          <reference field="1" count="1">
            <x v="101"/>
          </reference>
        </references>
      </pivotArea>
    </format>
    <format dxfId="3697">
      <pivotArea collapsedLevelsAreSubtotals="1" fieldPosition="0">
        <references count="3">
          <reference field="4294967294" count="1" selected="0">
            <x v="0"/>
          </reference>
          <reference field="0" count="1" selected="0">
            <x v="78"/>
          </reference>
          <reference field="1" count="1">
            <x v="102"/>
          </reference>
        </references>
      </pivotArea>
    </format>
    <format dxfId="3698">
      <pivotArea collapsedLevelsAreSubtotals="1" fieldPosition="0">
        <references count="3">
          <reference field="4294967294" count="1" selected="0">
            <x v="0"/>
          </reference>
          <reference field="0" count="1" selected="0">
            <x v="79"/>
          </reference>
          <reference field="1" count="1">
            <x v="103"/>
          </reference>
        </references>
      </pivotArea>
    </format>
    <format dxfId="3699">
      <pivotArea collapsedLevelsAreSubtotals="1" fieldPosition="0">
        <references count="3">
          <reference field="4294967294" count="1" selected="0">
            <x v="0"/>
          </reference>
          <reference field="0" count="1" selected="0">
            <x v="80"/>
          </reference>
          <reference field="1" count="1">
            <x v="104"/>
          </reference>
        </references>
      </pivotArea>
    </format>
    <format dxfId="3700">
      <pivotArea collapsedLevelsAreSubtotals="1" fieldPosition="0">
        <references count="2">
          <reference field="4294967294" count="1" selected="0">
            <x v="1"/>
          </reference>
          <reference field="0" count="1">
            <x v="0"/>
          </reference>
        </references>
      </pivotArea>
    </format>
    <format dxfId="3701">
      <pivotArea collapsedLevelsAreSubtotals="1" fieldPosition="0">
        <references count="3">
          <reference field="4294967294" count="1" selected="0">
            <x v="1"/>
          </reference>
          <reference field="0" count="1" selected="0">
            <x v="0"/>
          </reference>
          <reference field="1" count="4">
            <x v="12"/>
            <x v="13"/>
            <x v="14"/>
            <x v="15"/>
          </reference>
        </references>
      </pivotArea>
    </format>
    <format dxfId="3702">
      <pivotArea collapsedLevelsAreSubtotals="1" fieldPosition="0">
        <references count="2">
          <reference field="4294967294" count="1" selected="0">
            <x v="1"/>
          </reference>
          <reference field="0" count="1">
            <x v="1"/>
          </reference>
        </references>
      </pivotArea>
    </format>
    <format dxfId="3703">
      <pivotArea collapsedLevelsAreSubtotals="1" fieldPosition="0">
        <references count="3">
          <reference field="4294967294" count="1" selected="0">
            <x v="1"/>
          </reference>
          <reference field="0" count="1" selected="0">
            <x v="1"/>
          </reference>
          <reference field="1" count="2">
            <x v="16"/>
            <x v="17"/>
          </reference>
        </references>
      </pivotArea>
    </format>
    <format dxfId="3704">
      <pivotArea collapsedLevelsAreSubtotals="1" fieldPosition="0">
        <references count="2">
          <reference field="4294967294" count="1" selected="0">
            <x v="1"/>
          </reference>
          <reference field="0" count="1">
            <x v="2"/>
          </reference>
        </references>
      </pivotArea>
    </format>
    <format dxfId="3705">
      <pivotArea collapsedLevelsAreSubtotals="1" fieldPosition="0">
        <references count="3">
          <reference field="4294967294" count="1" selected="0">
            <x v="1"/>
          </reference>
          <reference field="0" count="1" selected="0">
            <x v="2"/>
          </reference>
          <reference field="1" count="1">
            <x v="18"/>
          </reference>
        </references>
      </pivotArea>
    </format>
    <format dxfId="3706">
      <pivotArea collapsedLevelsAreSubtotals="1" fieldPosition="0">
        <references count="2">
          <reference field="4294967294" count="1" selected="0">
            <x v="1"/>
          </reference>
          <reference field="0" count="1">
            <x v="3"/>
          </reference>
        </references>
      </pivotArea>
    </format>
    <format dxfId="3707">
      <pivotArea collapsedLevelsAreSubtotals="1" fieldPosition="0">
        <references count="3">
          <reference field="4294967294" count="1" selected="0">
            <x v="1"/>
          </reference>
          <reference field="0" count="1" selected="0">
            <x v="3"/>
          </reference>
          <reference field="1" count="1">
            <x v="19"/>
          </reference>
        </references>
      </pivotArea>
    </format>
    <format dxfId="3708">
      <pivotArea collapsedLevelsAreSubtotals="1" fieldPosition="0">
        <references count="2">
          <reference field="4294967294" count="1" selected="0">
            <x v="1"/>
          </reference>
          <reference field="0" count="1">
            <x v="4"/>
          </reference>
        </references>
      </pivotArea>
    </format>
    <format dxfId="3709">
      <pivotArea collapsedLevelsAreSubtotals="1" fieldPosition="0">
        <references count="3">
          <reference field="4294967294" count="1" selected="0">
            <x v="1"/>
          </reference>
          <reference field="0" count="1" selected="0">
            <x v="4"/>
          </reference>
          <reference field="1" count="1">
            <x v="20"/>
          </reference>
        </references>
      </pivotArea>
    </format>
    <format dxfId="3710">
      <pivotArea collapsedLevelsAreSubtotals="1" fieldPosition="0">
        <references count="2">
          <reference field="4294967294" count="1" selected="0">
            <x v="1"/>
          </reference>
          <reference field="0" count="1">
            <x v="5"/>
          </reference>
        </references>
      </pivotArea>
    </format>
    <format dxfId="3711">
      <pivotArea collapsedLevelsAreSubtotals="1" fieldPosition="0">
        <references count="3">
          <reference field="4294967294" count="1" selected="0">
            <x v="1"/>
          </reference>
          <reference field="0" count="1" selected="0">
            <x v="5"/>
          </reference>
          <reference field="1" count="1">
            <x v="21"/>
          </reference>
        </references>
      </pivotArea>
    </format>
    <format dxfId="3712">
      <pivotArea collapsedLevelsAreSubtotals="1" fieldPosition="0">
        <references count="2">
          <reference field="4294967294" count="1" selected="0">
            <x v="1"/>
          </reference>
          <reference field="0" count="1">
            <x v="6"/>
          </reference>
        </references>
      </pivotArea>
    </format>
    <format dxfId="3713">
      <pivotArea collapsedLevelsAreSubtotals="1" fieldPosition="0">
        <references count="3">
          <reference field="4294967294" count="1" selected="0">
            <x v="1"/>
          </reference>
          <reference field="0" count="1" selected="0">
            <x v="6"/>
          </reference>
          <reference field="1" count="1">
            <x v="22"/>
          </reference>
        </references>
      </pivotArea>
    </format>
    <format dxfId="3714">
      <pivotArea collapsedLevelsAreSubtotals="1" fieldPosition="0">
        <references count="2">
          <reference field="4294967294" count="1" selected="0">
            <x v="1"/>
          </reference>
          <reference field="0" count="1">
            <x v="7"/>
          </reference>
        </references>
      </pivotArea>
    </format>
    <format dxfId="3715">
      <pivotArea collapsedLevelsAreSubtotals="1" fieldPosition="0">
        <references count="3">
          <reference field="4294967294" count="1" selected="0">
            <x v="1"/>
          </reference>
          <reference field="0" count="1" selected="0">
            <x v="7"/>
          </reference>
          <reference field="1" count="1">
            <x v="23"/>
          </reference>
        </references>
      </pivotArea>
    </format>
    <format dxfId="3716">
      <pivotArea collapsedLevelsAreSubtotals="1" fieldPosition="0">
        <references count="2">
          <reference field="4294967294" count="1" selected="0">
            <x v="1"/>
          </reference>
          <reference field="0" count="1">
            <x v="8"/>
          </reference>
        </references>
      </pivotArea>
    </format>
    <format dxfId="3717">
      <pivotArea collapsedLevelsAreSubtotals="1" fieldPosition="0">
        <references count="3">
          <reference field="4294967294" count="1" selected="0">
            <x v="1"/>
          </reference>
          <reference field="0" count="1" selected="0">
            <x v="8"/>
          </reference>
          <reference field="1" count="1">
            <x v="24"/>
          </reference>
        </references>
      </pivotArea>
    </format>
    <format dxfId="3718">
      <pivotArea collapsedLevelsAreSubtotals="1" fieldPosition="0">
        <references count="2">
          <reference field="4294967294" count="1" selected="0">
            <x v="1"/>
          </reference>
          <reference field="0" count="1">
            <x v="9"/>
          </reference>
        </references>
      </pivotArea>
    </format>
    <format dxfId="3719">
      <pivotArea collapsedLevelsAreSubtotals="1" fieldPosition="0">
        <references count="3">
          <reference field="4294967294" count="1" selected="0">
            <x v="1"/>
          </reference>
          <reference field="0" count="1" selected="0">
            <x v="9"/>
          </reference>
          <reference field="1" count="2">
            <x v="25"/>
            <x v="26"/>
          </reference>
        </references>
      </pivotArea>
    </format>
    <format dxfId="3720">
      <pivotArea collapsedLevelsAreSubtotals="1" fieldPosition="0">
        <references count="2">
          <reference field="4294967294" count="1" selected="0">
            <x v="1"/>
          </reference>
          <reference field="0" count="1">
            <x v="10"/>
          </reference>
        </references>
      </pivotArea>
    </format>
    <format dxfId="3721">
      <pivotArea collapsedLevelsAreSubtotals="1" fieldPosition="0">
        <references count="3">
          <reference field="4294967294" count="1" selected="0">
            <x v="1"/>
          </reference>
          <reference field="0" count="1" selected="0">
            <x v="10"/>
          </reference>
          <reference field="1" count="1">
            <x v="27"/>
          </reference>
        </references>
      </pivotArea>
    </format>
    <format dxfId="3722">
      <pivotArea collapsedLevelsAreSubtotals="1" fieldPosition="0">
        <references count="2">
          <reference field="4294967294" count="1" selected="0">
            <x v="1"/>
          </reference>
          <reference field="0" count="1">
            <x v="11"/>
          </reference>
        </references>
      </pivotArea>
    </format>
    <format dxfId="3723">
      <pivotArea collapsedLevelsAreSubtotals="1" fieldPosition="0">
        <references count="3">
          <reference field="4294967294" count="1" selected="0">
            <x v="1"/>
          </reference>
          <reference field="0" count="1" selected="0">
            <x v="11"/>
          </reference>
          <reference field="1" count="1">
            <x v="28"/>
          </reference>
        </references>
      </pivotArea>
    </format>
    <format dxfId="3724">
      <pivotArea collapsedLevelsAreSubtotals="1" fieldPosition="0">
        <references count="2">
          <reference field="4294967294" count="1" selected="0">
            <x v="1"/>
          </reference>
          <reference field="0" count="1">
            <x v="12"/>
          </reference>
        </references>
      </pivotArea>
    </format>
    <format dxfId="3725">
      <pivotArea collapsedLevelsAreSubtotals="1" fieldPosition="0">
        <references count="3">
          <reference field="4294967294" count="1" selected="0">
            <x v="1"/>
          </reference>
          <reference field="0" count="1" selected="0">
            <x v="12"/>
          </reference>
          <reference field="1" count="1">
            <x v="29"/>
          </reference>
        </references>
      </pivotArea>
    </format>
    <format dxfId="3726">
      <pivotArea collapsedLevelsAreSubtotals="1" fieldPosition="0">
        <references count="2">
          <reference field="4294967294" count="1" selected="0">
            <x v="1"/>
          </reference>
          <reference field="0" count="1">
            <x v="13"/>
          </reference>
        </references>
      </pivotArea>
    </format>
    <format dxfId="3727">
      <pivotArea collapsedLevelsAreSubtotals="1" fieldPosition="0">
        <references count="3">
          <reference field="4294967294" count="1" selected="0">
            <x v="1"/>
          </reference>
          <reference field="0" count="1" selected="0">
            <x v="13"/>
          </reference>
          <reference field="1" count="1">
            <x v="30"/>
          </reference>
        </references>
      </pivotArea>
    </format>
    <format dxfId="3728">
      <pivotArea collapsedLevelsAreSubtotals="1" fieldPosition="0">
        <references count="2">
          <reference field="4294967294" count="1" selected="0">
            <x v="1"/>
          </reference>
          <reference field="0" count="1">
            <x v="14"/>
          </reference>
        </references>
      </pivotArea>
    </format>
    <format dxfId="3729">
      <pivotArea collapsedLevelsAreSubtotals="1" fieldPosition="0">
        <references count="3">
          <reference field="4294967294" count="1" selected="0">
            <x v="1"/>
          </reference>
          <reference field="0" count="1" selected="0">
            <x v="14"/>
          </reference>
          <reference field="1" count="2">
            <x v="31"/>
            <x v="32"/>
          </reference>
        </references>
      </pivotArea>
    </format>
    <format dxfId="3730">
      <pivotArea collapsedLevelsAreSubtotals="1" fieldPosition="0">
        <references count="2">
          <reference field="4294967294" count="1" selected="0">
            <x v="1"/>
          </reference>
          <reference field="0" count="1">
            <x v="15"/>
          </reference>
        </references>
      </pivotArea>
    </format>
    <format dxfId="3731">
      <pivotArea collapsedLevelsAreSubtotals="1" fieldPosition="0">
        <references count="3">
          <reference field="4294967294" count="1" selected="0">
            <x v="1"/>
          </reference>
          <reference field="0" count="1" selected="0">
            <x v="15"/>
          </reference>
          <reference field="1" count="1">
            <x v="33"/>
          </reference>
        </references>
      </pivotArea>
    </format>
    <format dxfId="3732">
      <pivotArea collapsedLevelsAreSubtotals="1" fieldPosition="0">
        <references count="2">
          <reference field="4294967294" count="1" selected="0">
            <x v="1"/>
          </reference>
          <reference field="0" count="1">
            <x v="16"/>
          </reference>
        </references>
      </pivotArea>
    </format>
    <format dxfId="3733">
      <pivotArea collapsedLevelsAreSubtotals="1" fieldPosition="0">
        <references count="3">
          <reference field="4294967294" count="1" selected="0">
            <x v="1"/>
          </reference>
          <reference field="0" count="1" selected="0">
            <x v="16"/>
          </reference>
          <reference field="1" count="1">
            <x v="34"/>
          </reference>
        </references>
      </pivotArea>
    </format>
    <format dxfId="3734">
      <pivotArea collapsedLevelsAreSubtotals="1" fieldPosition="0">
        <references count="2">
          <reference field="4294967294" count="1" selected="0">
            <x v="1"/>
          </reference>
          <reference field="0" count="1">
            <x v="17"/>
          </reference>
        </references>
      </pivotArea>
    </format>
    <format dxfId="3735">
      <pivotArea collapsedLevelsAreSubtotals="1" fieldPosition="0">
        <references count="3">
          <reference field="4294967294" count="1" selected="0">
            <x v="1"/>
          </reference>
          <reference field="0" count="1" selected="0">
            <x v="17"/>
          </reference>
          <reference field="1" count="1">
            <x v="35"/>
          </reference>
        </references>
      </pivotArea>
    </format>
    <format dxfId="3736">
      <pivotArea collapsedLevelsAreSubtotals="1" fieldPosition="0">
        <references count="2">
          <reference field="4294967294" count="1" selected="0">
            <x v="1"/>
          </reference>
          <reference field="0" count="1">
            <x v="18"/>
          </reference>
        </references>
      </pivotArea>
    </format>
    <format dxfId="3737">
      <pivotArea collapsedLevelsAreSubtotals="1" fieldPosition="0">
        <references count="2">
          <reference field="4294967294" count="1" selected="0">
            <x v="1"/>
          </reference>
          <reference field="0" count="1">
            <x v="0"/>
          </reference>
        </references>
      </pivotArea>
    </format>
    <format dxfId="3738">
      <pivotArea collapsedLevelsAreSubtotals="1" fieldPosition="0">
        <references count="3">
          <reference field="4294967294" count="1" selected="0">
            <x v="1"/>
          </reference>
          <reference field="0" count="1" selected="0">
            <x v="0"/>
          </reference>
          <reference field="1" count="4">
            <x v="12"/>
            <x v="13"/>
            <x v="14"/>
            <x v="15"/>
          </reference>
        </references>
      </pivotArea>
    </format>
    <format dxfId="3739">
      <pivotArea collapsedLevelsAreSubtotals="1" fieldPosition="0">
        <references count="2">
          <reference field="4294967294" count="1" selected="0">
            <x v="1"/>
          </reference>
          <reference field="0" count="1">
            <x v="1"/>
          </reference>
        </references>
      </pivotArea>
    </format>
    <format dxfId="3740">
      <pivotArea collapsedLevelsAreSubtotals="1" fieldPosition="0">
        <references count="3">
          <reference field="4294967294" count="1" selected="0">
            <x v="1"/>
          </reference>
          <reference field="0" count="1" selected="0">
            <x v="1"/>
          </reference>
          <reference field="1" count="2">
            <x v="16"/>
            <x v="17"/>
          </reference>
        </references>
      </pivotArea>
    </format>
    <format dxfId="3741">
      <pivotArea collapsedLevelsAreSubtotals="1" fieldPosition="0">
        <references count="2">
          <reference field="4294967294" count="1" selected="0">
            <x v="1"/>
          </reference>
          <reference field="0" count="1">
            <x v="2"/>
          </reference>
        </references>
      </pivotArea>
    </format>
    <format dxfId="3742">
      <pivotArea collapsedLevelsAreSubtotals="1" fieldPosition="0">
        <references count="3">
          <reference field="4294967294" count="1" selected="0">
            <x v="1"/>
          </reference>
          <reference field="0" count="1" selected="0">
            <x v="2"/>
          </reference>
          <reference field="1" count="1">
            <x v="18"/>
          </reference>
        </references>
      </pivotArea>
    </format>
    <format dxfId="3743">
      <pivotArea collapsedLevelsAreSubtotals="1" fieldPosition="0">
        <references count="2">
          <reference field="4294967294" count="1" selected="0">
            <x v="1"/>
          </reference>
          <reference field="0" count="1">
            <x v="3"/>
          </reference>
        </references>
      </pivotArea>
    </format>
    <format dxfId="3744">
      <pivotArea collapsedLevelsAreSubtotals="1" fieldPosition="0">
        <references count="3">
          <reference field="4294967294" count="1" selected="0">
            <x v="1"/>
          </reference>
          <reference field="0" count="1" selected="0">
            <x v="3"/>
          </reference>
          <reference field="1" count="1">
            <x v="19"/>
          </reference>
        </references>
      </pivotArea>
    </format>
    <format dxfId="3745">
      <pivotArea collapsedLevelsAreSubtotals="1" fieldPosition="0">
        <references count="2">
          <reference field="4294967294" count="1" selected="0">
            <x v="1"/>
          </reference>
          <reference field="0" count="1">
            <x v="4"/>
          </reference>
        </references>
      </pivotArea>
    </format>
    <format dxfId="3746">
      <pivotArea collapsedLevelsAreSubtotals="1" fieldPosition="0">
        <references count="3">
          <reference field="4294967294" count="1" selected="0">
            <x v="1"/>
          </reference>
          <reference field="0" count="1" selected="0">
            <x v="4"/>
          </reference>
          <reference field="1" count="1">
            <x v="20"/>
          </reference>
        </references>
      </pivotArea>
    </format>
    <format dxfId="3747">
      <pivotArea collapsedLevelsAreSubtotals="1" fieldPosition="0">
        <references count="2">
          <reference field="4294967294" count="1" selected="0">
            <x v="1"/>
          </reference>
          <reference field="0" count="1">
            <x v="5"/>
          </reference>
        </references>
      </pivotArea>
    </format>
    <format dxfId="3748">
      <pivotArea collapsedLevelsAreSubtotals="1" fieldPosition="0">
        <references count="3">
          <reference field="4294967294" count="1" selected="0">
            <x v="1"/>
          </reference>
          <reference field="0" count="1" selected="0">
            <x v="5"/>
          </reference>
          <reference field="1" count="1">
            <x v="21"/>
          </reference>
        </references>
      </pivotArea>
    </format>
    <format dxfId="3749">
      <pivotArea collapsedLevelsAreSubtotals="1" fieldPosition="0">
        <references count="2">
          <reference field="4294967294" count="1" selected="0">
            <x v="1"/>
          </reference>
          <reference field="0" count="1">
            <x v="6"/>
          </reference>
        </references>
      </pivotArea>
    </format>
    <format dxfId="3750">
      <pivotArea collapsedLevelsAreSubtotals="1" fieldPosition="0">
        <references count="3">
          <reference field="4294967294" count="1" selected="0">
            <x v="1"/>
          </reference>
          <reference field="0" count="1" selected="0">
            <x v="6"/>
          </reference>
          <reference field="1" count="1">
            <x v="22"/>
          </reference>
        </references>
      </pivotArea>
    </format>
    <format dxfId="3751">
      <pivotArea collapsedLevelsAreSubtotals="1" fieldPosition="0">
        <references count="2">
          <reference field="4294967294" count="1" selected="0">
            <x v="1"/>
          </reference>
          <reference field="0" count="1">
            <x v="7"/>
          </reference>
        </references>
      </pivotArea>
    </format>
    <format dxfId="3752">
      <pivotArea collapsedLevelsAreSubtotals="1" fieldPosition="0">
        <references count="3">
          <reference field="4294967294" count="1" selected="0">
            <x v="1"/>
          </reference>
          <reference field="0" count="1" selected="0">
            <x v="7"/>
          </reference>
          <reference field="1" count="1">
            <x v="23"/>
          </reference>
        </references>
      </pivotArea>
    </format>
    <format dxfId="3753">
      <pivotArea collapsedLevelsAreSubtotals="1" fieldPosition="0">
        <references count="2">
          <reference field="4294967294" count="1" selected="0">
            <x v="1"/>
          </reference>
          <reference field="0" count="1">
            <x v="8"/>
          </reference>
        </references>
      </pivotArea>
    </format>
    <format dxfId="3754">
      <pivotArea collapsedLevelsAreSubtotals="1" fieldPosition="0">
        <references count="3">
          <reference field="4294967294" count="1" selected="0">
            <x v="1"/>
          </reference>
          <reference field="0" count="1" selected="0">
            <x v="8"/>
          </reference>
          <reference field="1" count="1">
            <x v="24"/>
          </reference>
        </references>
      </pivotArea>
    </format>
    <format dxfId="3755">
      <pivotArea collapsedLevelsAreSubtotals="1" fieldPosition="0">
        <references count="2">
          <reference field="4294967294" count="1" selected="0">
            <x v="1"/>
          </reference>
          <reference field="0" count="1">
            <x v="9"/>
          </reference>
        </references>
      </pivotArea>
    </format>
    <format dxfId="3756">
      <pivotArea collapsedLevelsAreSubtotals="1" fieldPosition="0">
        <references count="3">
          <reference field="4294967294" count="1" selected="0">
            <x v="1"/>
          </reference>
          <reference field="0" count="1" selected="0">
            <x v="9"/>
          </reference>
          <reference field="1" count="2">
            <x v="25"/>
            <x v="26"/>
          </reference>
        </references>
      </pivotArea>
    </format>
    <format dxfId="3757">
      <pivotArea collapsedLevelsAreSubtotals="1" fieldPosition="0">
        <references count="2">
          <reference field="4294967294" count="1" selected="0">
            <x v="1"/>
          </reference>
          <reference field="0" count="1">
            <x v="10"/>
          </reference>
        </references>
      </pivotArea>
    </format>
    <format dxfId="3758">
      <pivotArea collapsedLevelsAreSubtotals="1" fieldPosition="0">
        <references count="3">
          <reference field="4294967294" count="1" selected="0">
            <x v="1"/>
          </reference>
          <reference field="0" count="1" selected="0">
            <x v="10"/>
          </reference>
          <reference field="1" count="1">
            <x v="27"/>
          </reference>
        </references>
      </pivotArea>
    </format>
    <format dxfId="3759">
      <pivotArea collapsedLevelsAreSubtotals="1" fieldPosition="0">
        <references count="2">
          <reference field="4294967294" count="1" selected="0">
            <x v="1"/>
          </reference>
          <reference field="0" count="1">
            <x v="11"/>
          </reference>
        </references>
      </pivotArea>
    </format>
    <format dxfId="3760">
      <pivotArea collapsedLevelsAreSubtotals="1" fieldPosition="0">
        <references count="3">
          <reference field="4294967294" count="1" selected="0">
            <x v="1"/>
          </reference>
          <reference field="0" count="1" selected="0">
            <x v="11"/>
          </reference>
          <reference field="1" count="1">
            <x v="28"/>
          </reference>
        </references>
      </pivotArea>
    </format>
    <format dxfId="3761">
      <pivotArea collapsedLevelsAreSubtotals="1" fieldPosition="0">
        <references count="2">
          <reference field="4294967294" count="1" selected="0">
            <x v="1"/>
          </reference>
          <reference field="0" count="1">
            <x v="12"/>
          </reference>
        </references>
      </pivotArea>
    </format>
    <format dxfId="3762">
      <pivotArea collapsedLevelsAreSubtotals="1" fieldPosition="0">
        <references count="3">
          <reference field="4294967294" count="1" selected="0">
            <x v="1"/>
          </reference>
          <reference field="0" count="1" selected="0">
            <x v="12"/>
          </reference>
          <reference field="1" count="1">
            <x v="29"/>
          </reference>
        </references>
      </pivotArea>
    </format>
    <format dxfId="3763">
      <pivotArea collapsedLevelsAreSubtotals="1" fieldPosition="0">
        <references count="2">
          <reference field="4294967294" count="1" selected="0">
            <x v="1"/>
          </reference>
          <reference field="0" count="1">
            <x v="13"/>
          </reference>
        </references>
      </pivotArea>
    </format>
    <format dxfId="3764">
      <pivotArea collapsedLevelsAreSubtotals="1" fieldPosition="0">
        <references count="3">
          <reference field="4294967294" count="1" selected="0">
            <x v="1"/>
          </reference>
          <reference field="0" count="1" selected="0">
            <x v="13"/>
          </reference>
          <reference field="1" count="1">
            <x v="30"/>
          </reference>
        </references>
      </pivotArea>
    </format>
    <format dxfId="3765">
      <pivotArea collapsedLevelsAreSubtotals="1" fieldPosition="0">
        <references count="2">
          <reference field="4294967294" count="1" selected="0">
            <x v="1"/>
          </reference>
          <reference field="0" count="1">
            <x v="14"/>
          </reference>
        </references>
      </pivotArea>
    </format>
    <format dxfId="3766">
      <pivotArea collapsedLevelsAreSubtotals="1" fieldPosition="0">
        <references count="3">
          <reference field="4294967294" count="1" selected="0">
            <x v="1"/>
          </reference>
          <reference field="0" count="1" selected="0">
            <x v="14"/>
          </reference>
          <reference field="1" count="2">
            <x v="31"/>
            <x v="32"/>
          </reference>
        </references>
      </pivotArea>
    </format>
    <format dxfId="3767">
      <pivotArea collapsedLevelsAreSubtotals="1" fieldPosition="0">
        <references count="2">
          <reference field="4294967294" count="1" selected="0">
            <x v="1"/>
          </reference>
          <reference field="0" count="1">
            <x v="15"/>
          </reference>
        </references>
      </pivotArea>
    </format>
    <format dxfId="3768">
      <pivotArea collapsedLevelsAreSubtotals="1" fieldPosition="0">
        <references count="3">
          <reference field="4294967294" count="1" selected="0">
            <x v="1"/>
          </reference>
          <reference field="0" count="1" selected="0">
            <x v="15"/>
          </reference>
          <reference field="1" count="1">
            <x v="33"/>
          </reference>
        </references>
      </pivotArea>
    </format>
    <format dxfId="3769">
      <pivotArea collapsedLevelsAreSubtotals="1" fieldPosition="0">
        <references count="2">
          <reference field="4294967294" count="1" selected="0">
            <x v="1"/>
          </reference>
          <reference field="0" count="1">
            <x v="16"/>
          </reference>
        </references>
      </pivotArea>
    </format>
    <format dxfId="3770">
      <pivotArea collapsedLevelsAreSubtotals="1" fieldPosition="0">
        <references count="3">
          <reference field="4294967294" count="1" selected="0">
            <x v="1"/>
          </reference>
          <reference field="0" count="1" selected="0">
            <x v="16"/>
          </reference>
          <reference field="1" count="1">
            <x v="34"/>
          </reference>
        </references>
      </pivotArea>
    </format>
    <format dxfId="3771">
      <pivotArea collapsedLevelsAreSubtotals="1" fieldPosition="0">
        <references count="2">
          <reference field="4294967294" count="1" selected="0">
            <x v="1"/>
          </reference>
          <reference field="0" count="1">
            <x v="17"/>
          </reference>
        </references>
      </pivotArea>
    </format>
    <format dxfId="3772">
      <pivotArea collapsedLevelsAreSubtotals="1" fieldPosition="0">
        <references count="3">
          <reference field="4294967294" count="1" selected="0">
            <x v="1"/>
          </reference>
          <reference field="0" count="1" selected="0">
            <x v="17"/>
          </reference>
          <reference field="1" count="1">
            <x v="35"/>
          </reference>
        </references>
      </pivotArea>
    </format>
    <format dxfId="3773">
      <pivotArea collapsedLevelsAreSubtotals="1" fieldPosition="0">
        <references count="2">
          <reference field="4294967294" count="1" selected="0">
            <x v="1"/>
          </reference>
          <reference field="0" count="1">
            <x v="18"/>
          </reference>
        </references>
      </pivotArea>
    </format>
    <format dxfId="3774">
      <pivotArea collapsedLevelsAreSubtotals="1" fieldPosition="0">
        <references count="3">
          <reference field="4294967294" count="1" selected="0">
            <x v="1"/>
          </reference>
          <reference field="0" count="1" selected="0">
            <x v="18"/>
          </reference>
          <reference field="1" count="1">
            <x v="36"/>
          </reference>
        </references>
      </pivotArea>
    </format>
    <format dxfId="3775">
      <pivotArea collapsedLevelsAreSubtotals="1" fieldPosition="0">
        <references count="2">
          <reference field="4294967294" count="1" selected="0">
            <x v="1"/>
          </reference>
          <reference field="0" count="1">
            <x v="19"/>
          </reference>
        </references>
      </pivotArea>
    </format>
    <format dxfId="3776">
      <pivotArea collapsedLevelsAreSubtotals="1" fieldPosition="0">
        <references count="3">
          <reference field="4294967294" count="1" selected="0">
            <x v="1"/>
          </reference>
          <reference field="0" count="1" selected="0">
            <x v="19"/>
          </reference>
          <reference field="1" count="1">
            <x v="37"/>
          </reference>
        </references>
      </pivotArea>
    </format>
    <format dxfId="3777">
      <pivotArea collapsedLevelsAreSubtotals="1" fieldPosition="0">
        <references count="2">
          <reference field="4294967294" count="1" selected="0">
            <x v="1"/>
          </reference>
          <reference field="0" count="1">
            <x v="20"/>
          </reference>
        </references>
      </pivotArea>
    </format>
    <format dxfId="3778">
      <pivotArea collapsedLevelsAreSubtotals="1" fieldPosition="0">
        <references count="3">
          <reference field="4294967294" count="1" selected="0">
            <x v="1"/>
          </reference>
          <reference field="0" count="1" selected="0">
            <x v="20"/>
          </reference>
          <reference field="1" count="1">
            <x v="38"/>
          </reference>
        </references>
      </pivotArea>
    </format>
    <format dxfId="3779">
      <pivotArea collapsedLevelsAreSubtotals="1" fieldPosition="0">
        <references count="2">
          <reference field="4294967294" count="1" selected="0">
            <x v="1"/>
          </reference>
          <reference field="0" count="1">
            <x v="21"/>
          </reference>
        </references>
      </pivotArea>
    </format>
    <format dxfId="3780">
      <pivotArea collapsedLevelsAreSubtotals="1" fieldPosition="0">
        <references count="3">
          <reference field="4294967294" count="1" selected="0">
            <x v="1"/>
          </reference>
          <reference field="0" count="1" selected="0">
            <x v="21"/>
          </reference>
          <reference field="1" count="1">
            <x v="39"/>
          </reference>
        </references>
      </pivotArea>
    </format>
    <format dxfId="3781">
      <pivotArea collapsedLevelsAreSubtotals="1" fieldPosition="0">
        <references count="2">
          <reference field="4294967294" count="1" selected="0">
            <x v="1"/>
          </reference>
          <reference field="0" count="1">
            <x v="22"/>
          </reference>
        </references>
      </pivotArea>
    </format>
    <format dxfId="3782">
      <pivotArea collapsedLevelsAreSubtotals="1" fieldPosition="0">
        <references count="3">
          <reference field="4294967294" count="1" selected="0">
            <x v="1"/>
          </reference>
          <reference field="0" count="1" selected="0">
            <x v="22"/>
          </reference>
          <reference field="1" count="1">
            <x v="40"/>
          </reference>
        </references>
      </pivotArea>
    </format>
    <format dxfId="3783">
      <pivotArea collapsedLevelsAreSubtotals="1" fieldPosition="0">
        <references count="2">
          <reference field="4294967294" count="1" selected="0">
            <x v="1"/>
          </reference>
          <reference field="0" count="1">
            <x v="23"/>
          </reference>
        </references>
      </pivotArea>
    </format>
    <format dxfId="3784">
      <pivotArea collapsedLevelsAreSubtotals="1" fieldPosition="0">
        <references count="3">
          <reference field="4294967294" count="1" selected="0">
            <x v="1"/>
          </reference>
          <reference field="0" count="1" selected="0">
            <x v="23"/>
          </reference>
          <reference field="1" count="3">
            <x v="41"/>
            <x v="42"/>
            <x v="43"/>
          </reference>
        </references>
      </pivotArea>
    </format>
    <format dxfId="3785">
      <pivotArea collapsedLevelsAreSubtotals="1" fieldPosition="0">
        <references count="2">
          <reference field="4294967294" count="1" selected="0">
            <x v="1"/>
          </reference>
          <reference field="0" count="1">
            <x v="24"/>
          </reference>
        </references>
      </pivotArea>
    </format>
    <format dxfId="3786">
      <pivotArea collapsedLevelsAreSubtotals="1" fieldPosition="0">
        <references count="3">
          <reference field="4294967294" count="1" selected="0">
            <x v="1"/>
          </reference>
          <reference field="0" count="1" selected="0">
            <x v="24"/>
          </reference>
          <reference field="1" count="3">
            <x v="44"/>
            <x v="45"/>
            <x v="46"/>
          </reference>
        </references>
      </pivotArea>
    </format>
    <format dxfId="3787">
      <pivotArea collapsedLevelsAreSubtotals="1" fieldPosition="0">
        <references count="2">
          <reference field="4294967294" count="1" selected="0">
            <x v="1"/>
          </reference>
          <reference field="0" count="1">
            <x v="25"/>
          </reference>
        </references>
      </pivotArea>
    </format>
    <format dxfId="3788">
      <pivotArea collapsedLevelsAreSubtotals="1" fieldPosition="0">
        <references count="3">
          <reference field="4294967294" count="1" selected="0">
            <x v="1"/>
          </reference>
          <reference field="0" count="1" selected="0">
            <x v="25"/>
          </reference>
          <reference field="1" count="2">
            <x v="47"/>
            <x v="48"/>
          </reference>
        </references>
      </pivotArea>
    </format>
    <format dxfId="3789">
      <pivotArea collapsedLevelsAreSubtotals="1" fieldPosition="0">
        <references count="2">
          <reference field="4294967294" count="1" selected="0">
            <x v="1"/>
          </reference>
          <reference field="0" count="1">
            <x v="26"/>
          </reference>
        </references>
      </pivotArea>
    </format>
    <format dxfId="3790">
      <pivotArea collapsedLevelsAreSubtotals="1" fieldPosition="0">
        <references count="3">
          <reference field="4294967294" count="1" selected="0">
            <x v="1"/>
          </reference>
          <reference field="0" count="1" selected="0">
            <x v="26"/>
          </reference>
          <reference field="1" count="2">
            <x v="49"/>
            <x v="50"/>
          </reference>
        </references>
      </pivotArea>
    </format>
    <format dxfId="3791">
      <pivotArea collapsedLevelsAreSubtotals="1" fieldPosition="0">
        <references count="2">
          <reference field="4294967294" count="1" selected="0">
            <x v="1"/>
          </reference>
          <reference field="0" count="1">
            <x v="27"/>
          </reference>
        </references>
      </pivotArea>
    </format>
    <format dxfId="3792">
      <pivotArea collapsedLevelsAreSubtotals="1" fieldPosition="0">
        <references count="3">
          <reference field="4294967294" count="1" selected="0">
            <x v="1"/>
          </reference>
          <reference field="0" count="1" selected="0">
            <x v="27"/>
          </reference>
          <reference field="1" count="1">
            <x v="51"/>
          </reference>
        </references>
      </pivotArea>
    </format>
    <format dxfId="3793">
      <pivotArea collapsedLevelsAreSubtotals="1" fieldPosition="0">
        <references count="2">
          <reference field="4294967294" count="1" selected="0">
            <x v="1"/>
          </reference>
          <reference field="0" count="1">
            <x v="28"/>
          </reference>
        </references>
      </pivotArea>
    </format>
    <format dxfId="3794">
      <pivotArea collapsedLevelsAreSubtotals="1" fieldPosition="0">
        <references count="3">
          <reference field="4294967294" count="1" selected="0">
            <x v="1"/>
          </reference>
          <reference field="0" count="1" selected="0">
            <x v="28"/>
          </reference>
          <reference field="1" count="1">
            <x v="52"/>
          </reference>
        </references>
      </pivotArea>
    </format>
    <format dxfId="3795">
      <pivotArea collapsedLevelsAreSubtotals="1" fieldPosition="0">
        <references count="2">
          <reference field="4294967294" count="1" selected="0">
            <x v="1"/>
          </reference>
          <reference field="0" count="1">
            <x v="29"/>
          </reference>
        </references>
      </pivotArea>
    </format>
    <format dxfId="3796">
      <pivotArea collapsedLevelsAreSubtotals="1" fieldPosition="0">
        <references count="3">
          <reference field="4294967294" count="1" selected="0">
            <x v="1"/>
          </reference>
          <reference field="0" count="1" selected="0">
            <x v="29"/>
          </reference>
          <reference field="1" count="1">
            <x v="53"/>
          </reference>
        </references>
      </pivotArea>
    </format>
    <format dxfId="3797">
      <pivotArea collapsedLevelsAreSubtotals="1" fieldPosition="0">
        <references count="2">
          <reference field="4294967294" count="1" selected="0">
            <x v="1"/>
          </reference>
          <reference field="0" count="1">
            <x v="30"/>
          </reference>
        </references>
      </pivotArea>
    </format>
    <format dxfId="3798">
      <pivotArea collapsedLevelsAreSubtotals="1" fieldPosition="0">
        <references count="3">
          <reference field="4294967294" count="1" selected="0">
            <x v="1"/>
          </reference>
          <reference field="0" count="1" selected="0">
            <x v="30"/>
          </reference>
          <reference field="1" count="1">
            <x v="54"/>
          </reference>
        </references>
      </pivotArea>
    </format>
    <format dxfId="3799">
      <pivotArea collapsedLevelsAreSubtotals="1" fieldPosition="0">
        <references count="2">
          <reference field="4294967294" count="1" selected="0">
            <x v="1"/>
          </reference>
          <reference field="0" count="1">
            <x v="31"/>
          </reference>
        </references>
      </pivotArea>
    </format>
    <format dxfId="3800">
      <pivotArea collapsedLevelsAreSubtotals="1" fieldPosition="0">
        <references count="3">
          <reference field="4294967294" count="1" selected="0">
            <x v="1"/>
          </reference>
          <reference field="0" count="1" selected="0">
            <x v="31"/>
          </reference>
          <reference field="1" count="1">
            <x v="55"/>
          </reference>
        </references>
      </pivotArea>
    </format>
    <format dxfId="3801">
      <pivotArea collapsedLevelsAreSubtotals="1" fieldPosition="0">
        <references count="2">
          <reference field="4294967294" count="1" selected="0">
            <x v="1"/>
          </reference>
          <reference field="0" count="1">
            <x v="32"/>
          </reference>
        </references>
      </pivotArea>
    </format>
    <format dxfId="3802">
      <pivotArea collapsedLevelsAreSubtotals="1" fieldPosition="0">
        <references count="3">
          <reference field="4294967294" count="1" selected="0">
            <x v="1"/>
          </reference>
          <reference field="0" count="1" selected="0">
            <x v="32"/>
          </reference>
          <reference field="1" count="1">
            <x v="56"/>
          </reference>
        </references>
      </pivotArea>
    </format>
    <format dxfId="3803">
      <pivotArea collapsedLevelsAreSubtotals="1" fieldPosition="0">
        <references count="2">
          <reference field="4294967294" count="1" selected="0">
            <x v="1"/>
          </reference>
          <reference field="0" count="1">
            <x v="33"/>
          </reference>
        </references>
      </pivotArea>
    </format>
    <format dxfId="3804">
      <pivotArea collapsedLevelsAreSubtotals="1" fieldPosition="0">
        <references count="3">
          <reference field="4294967294" count="1" selected="0">
            <x v="1"/>
          </reference>
          <reference field="0" count="1" selected="0">
            <x v="33"/>
          </reference>
          <reference field="1" count="1">
            <x v="57"/>
          </reference>
        </references>
      </pivotArea>
    </format>
    <format dxfId="3805">
      <pivotArea collapsedLevelsAreSubtotals="1" fieldPosition="0">
        <references count="2">
          <reference field="4294967294" count="1" selected="0">
            <x v="1"/>
          </reference>
          <reference field="0" count="1">
            <x v="34"/>
          </reference>
        </references>
      </pivotArea>
    </format>
    <format dxfId="3806">
      <pivotArea collapsedLevelsAreSubtotals="1" fieldPosition="0">
        <references count="3">
          <reference field="4294967294" count="1" selected="0">
            <x v="1"/>
          </reference>
          <reference field="0" count="1" selected="0">
            <x v="34"/>
          </reference>
          <reference field="1" count="1">
            <x v="9"/>
          </reference>
        </references>
      </pivotArea>
    </format>
    <format dxfId="3807">
      <pivotArea collapsedLevelsAreSubtotals="1" fieldPosition="0">
        <references count="2">
          <reference field="4294967294" count="1" selected="0">
            <x v="1"/>
          </reference>
          <reference field="0" count="1">
            <x v="35"/>
          </reference>
        </references>
      </pivotArea>
    </format>
    <format dxfId="3808">
      <pivotArea collapsedLevelsAreSubtotals="1" fieldPosition="0">
        <references count="3">
          <reference field="4294967294" count="1" selected="0">
            <x v="1"/>
          </reference>
          <reference field="0" count="1" selected="0">
            <x v="35"/>
          </reference>
          <reference field="1" count="1">
            <x v="58"/>
          </reference>
        </references>
      </pivotArea>
    </format>
    <format dxfId="3809">
      <pivotArea collapsedLevelsAreSubtotals="1" fieldPosition="0">
        <references count="2">
          <reference field="4294967294" count="1" selected="0">
            <x v="1"/>
          </reference>
          <reference field="0" count="1">
            <x v="36"/>
          </reference>
        </references>
      </pivotArea>
    </format>
    <format dxfId="3810">
      <pivotArea collapsedLevelsAreSubtotals="1" fieldPosition="0">
        <references count="3">
          <reference field="4294967294" count="1" selected="0">
            <x v="1"/>
          </reference>
          <reference field="0" count="1" selected="0">
            <x v="36"/>
          </reference>
          <reference field="1" count="2">
            <x v="59"/>
            <x v="60"/>
          </reference>
        </references>
      </pivotArea>
    </format>
    <format dxfId="3811">
      <pivotArea collapsedLevelsAreSubtotals="1" fieldPosition="0">
        <references count="2">
          <reference field="4294967294" count="1" selected="0">
            <x v="1"/>
          </reference>
          <reference field="0" count="1">
            <x v="37"/>
          </reference>
        </references>
      </pivotArea>
    </format>
    <format dxfId="3812">
      <pivotArea collapsedLevelsAreSubtotals="1" fieldPosition="0">
        <references count="3">
          <reference field="4294967294" count="1" selected="0">
            <x v="1"/>
          </reference>
          <reference field="0" count="1" selected="0">
            <x v="37"/>
          </reference>
          <reference field="1" count="2">
            <x v="0"/>
            <x v="1"/>
          </reference>
        </references>
      </pivotArea>
    </format>
    <format dxfId="3813">
      <pivotArea collapsedLevelsAreSubtotals="1" fieldPosition="0">
        <references count="2">
          <reference field="4294967294" count="1" selected="0">
            <x v="1"/>
          </reference>
          <reference field="0" count="1">
            <x v="38"/>
          </reference>
        </references>
      </pivotArea>
    </format>
    <format dxfId="3814">
      <pivotArea collapsedLevelsAreSubtotals="1" fieldPosition="0">
        <references count="3">
          <reference field="4294967294" count="1" selected="0">
            <x v="1"/>
          </reference>
          <reference field="0" count="1" selected="0">
            <x v="38"/>
          </reference>
          <reference field="1" count="2">
            <x v="61"/>
            <x v="62"/>
          </reference>
        </references>
      </pivotArea>
    </format>
    <format dxfId="3815">
      <pivotArea collapsedLevelsAreSubtotals="1" fieldPosition="0">
        <references count="2">
          <reference field="4294967294" count="1" selected="0">
            <x v="1"/>
          </reference>
          <reference field="0" count="1">
            <x v="39"/>
          </reference>
        </references>
      </pivotArea>
    </format>
    <format dxfId="3816">
      <pivotArea collapsedLevelsAreSubtotals="1" fieldPosition="0">
        <references count="3">
          <reference field="4294967294" count="1" selected="0">
            <x v="1"/>
          </reference>
          <reference field="0" count="1" selected="0">
            <x v="39"/>
          </reference>
          <reference field="1" count="1">
            <x v="10"/>
          </reference>
        </references>
      </pivotArea>
    </format>
    <format dxfId="3817">
      <pivotArea collapsedLevelsAreSubtotals="1" fieldPosition="0">
        <references count="2">
          <reference field="4294967294" count="1" selected="0">
            <x v="1"/>
          </reference>
          <reference field="0" count="1">
            <x v="40"/>
          </reference>
        </references>
      </pivotArea>
    </format>
    <format dxfId="3818">
      <pivotArea collapsedLevelsAreSubtotals="1" fieldPosition="0">
        <references count="3">
          <reference field="4294967294" count="1" selected="0">
            <x v="1"/>
          </reference>
          <reference field="0" count="1" selected="0">
            <x v="40"/>
          </reference>
          <reference field="1" count="1">
            <x v="63"/>
          </reference>
        </references>
      </pivotArea>
    </format>
    <format dxfId="3819">
      <pivotArea collapsedLevelsAreSubtotals="1" fieldPosition="0">
        <references count="2">
          <reference field="4294967294" count="1" selected="0">
            <x v="1"/>
          </reference>
          <reference field="0" count="1">
            <x v="41"/>
          </reference>
        </references>
      </pivotArea>
    </format>
    <format dxfId="3820">
      <pivotArea collapsedLevelsAreSubtotals="1" fieldPosition="0">
        <references count="3">
          <reference field="4294967294" count="1" selected="0">
            <x v="1"/>
          </reference>
          <reference field="0" count="1" selected="0">
            <x v="41"/>
          </reference>
          <reference field="1" count="1">
            <x v="64"/>
          </reference>
        </references>
      </pivotArea>
    </format>
    <format dxfId="3821">
      <pivotArea collapsedLevelsAreSubtotals="1" fieldPosition="0">
        <references count="2">
          <reference field="4294967294" count="1" selected="0">
            <x v="1"/>
          </reference>
          <reference field="0" count="1">
            <x v="42"/>
          </reference>
        </references>
      </pivotArea>
    </format>
    <format dxfId="3822">
      <pivotArea collapsedLevelsAreSubtotals="1" fieldPosition="0">
        <references count="3">
          <reference field="4294967294" count="1" selected="0">
            <x v="1"/>
          </reference>
          <reference field="0" count="1" selected="0">
            <x v="42"/>
          </reference>
          <reference field="1" count="1">
            <x v="4"/>
          </reference>
        </references>
      </pivotArea>
    </format>
    <format dxfId="3823">
      <pivotArea collapsedLevelsAreSubtotals="1" fieldPosition="0">
        <references count="2">
          <reference field="4294967294" count="1" selected="0">
            <x v="1"/>
          </reference>
          <reference field="0" count="1">
            <x v="43"/>
          </reference>
        </references>
      </pivotArea>
    </format>
    <format dxfId="3824">
      <pivotArea collapsedLevelsAreSubtotals="1" fieldPosition="0">
        <references count="3">
          <reference field="4294967294" count="1" selected="0">
            <x v="1"/>
          </reference>
          <reference field="0" count="1" selected="0">
            <x v="43"/>
          </reference>
          <reference field="1" count="2">
            <x v="65"/>
            <x v="66"/>
          </reference>
        </references>
      </pivotArea>
    </format>
    <format dxfId="3825">
      <pivotArea collapsedLevelsAreSubtotals="1" fieldPosition="0">
        <references count="2">
          <reference field="4294967294" count="1" selected="0">
            <x v="1"/>
          </reference>
          <reference field="0" count="1">
            <x v="44"/>
          </reference>
        </references>
      </pivotArea>
    </format>
    <format dxfId="3826">
      <pivotArea collapsedLevelsAreSubtotals="1" fieldPosition="0">
        <references count="3">
          <reference field="4294967294" count="1" selected="0">
            <x v="1"/>
          </reference>
          <reference field="0" count="1" selected="0">
            <x v="44"/>
          </reference>
          <reference field="1" count="1">
            <x v="67"/>
          </reference>
        </references>
      </pivotArea>
    </format>
    <format dxfId="3827">
      <pivotArea collapsedLevelsAreSubtotals="1" fieldPosition="0">
        <references count="2">
          <reference field="4294967294" count="1" selected="0">
            <x v="1"/>
          </reference>
          <reference field="0" count="1">
            <x v="45"/>
          </reference>
        </references>
      </pivotArea>
    </format>
    <format dxfId="3828">
      <pivotArea collapsedLevelsAreSubtotals="1" fieldPosition="0">
        <references count="3">
          <reference field="4294967294" count="1" selected="0">
            <x v="1"/>
          </reference>
          <reference field="0" count="1" selected="0">
            <x v="45"/>
          </reference>
          <reference field="1" count="1">
            <x v="68"/>
          </reference>
        </references>
      </pivotArea>
    </format>
    <format dxfId="3829">
      <pivotArea collapsedLevelsAreSubtotals="1" fieldPosition="0">
        <references count="2">
          <reference field="4294967294" count="1" selected="0">
            <x v="1"/>
          </reference>
          <reference field="0" count="1">
            <x v="46"/>
          </reference>
        </references>
      </pivotArea>
    </format>
    <format dxfId="3830">
      <pivotArea collapsedLevelsAreSubtotals="1" fieldPosition="0">
        <references count="3">
          <reference field="4294967294" count="1" selected="0">
            <x v="1"/>
          </reference>
          <reference field="0" count="1" selected="0">
            <x v="46"/>
          </reference>
          <reference field="1" count="1">
            <x v="69"/>
          </reference>
        </references>
      </pivotArea>
    </format>
    <format dxfId="3831">
      <pivotArea collapsedLevelsAreSubtotals="1" fieldPosition="0">
        <references count="2">
          <reference field="4294967294" count="1" selected="0">
            <x v="1"/>
          </reference>
          <reference field="0" count="1">
            <x v="47"/>
          </reference>
        </references>
      </pivotArea>
    </format>
    <format dxfId="3832">
      <pivotArea collapsedLevelsAreSubtotals="1" fieldPosition="0">
        <references count="3">
          <reference field="4294967294" count="1" selected="0">
            <x v="1"/>
          </reference>
          <reference field="0" count="1" selected="0">
            <x v="47"/>
          </reference>
          <reference field="1" count="1">
            <x v="70"/>
          </reference>
        </references>
      </pivotArea>
    </format>
    <format dxfId="3833">
      <pivotArea collapsedLevelsAreSubtotals="1" fieldPosition="0">
        <references count="2">
          <reference field="4294967294" count="1" selected="0">
            <x v="1"/>
          </reference>
          <reference field="0" count="1">
            <x v="48"/>
          </reference>
        </references>
      </pivotArea>
    </format>
    <format dxfId="3834">
      <pivotArea collapsedLevelsAreSubtotals="1" fieldPosition="0">
        <references count="3">
          <reference field="4294967294" count="1" selected="0">
            <x v="1"/>
          </reference>
          <reference field="0" count="1" selected="0">
            <x v="48"/>
          </reference>
          <reference field="1" count="1">
            <x v="71"/>
          </reference>
        </references>
      </pivotArea>
    </format>
    <format dxfId="3835">
      <pivotArea collapsedLevelsAreSubtotals="1" fieldPosition="0">
        <references count="2">
          <reference field="4294967294" count="1" selected="0">
            <x v="1"/>
          </reference>
          <reference field="0" count="1">
            <x v="49"/>
          </reference>
        </references>
      </pivotArea>
    </format>
    <format dxfId="3836">
      <pivotArea collapsedLevelsAreSubtotals="1" fieldPosition="0">
        <references count="3">
          <reference field="4294967294" count="1" selected="0">
            <x v="1"/>
          </reference>
          <reference field="0" count="1" selected="0">
            <x v="49"/>
          </reference>
          <reference field="1" count="1">
            <x v="72"/>
          </reference>
        </references>
      </pivotArea>
    </format>
    <format dxfId="3837">
      <pivotArea collapsedLevelsAreSubtotals="1" fieldPosition="0">
        <references count="2">
          <reference field="4294967294" count="1" selected="0">
            <x v="1"/>
          </reference>
          <reference field="0" count="1">
            <x v="50"/>
          </reference>
        </references>
      </pivotArea>
    </format>
    <format dxfId="3838">
      <pivotArea collapsedLevelsAreSubtotals="1" fieldPosition="0">
        <references count="3">
          <reference field="4294967294" count="1" selected="0">
            <x v="1"/>
          </reference>
          <reference field="0" count="1" selected="0">
            <x v="50"/>
          </reference>
          <reference field="1" count="1">
            <x v="73"/>
          </reference>
        </references>
      </pivotArea>
    </format>
    <format dxfId="3839">
      <pivotArea collapsedLevelsAreSubtotals="1" fieldPosition="0">
        <references count="2">
          <reference field="4294967294" count="1" selected="0">
            <x v="1"/>
          </reference>
          <reference field="0" count="1">
            <x v="51"/>
          </reference>
        </references>
      </pivotArea>
    </format>
    <format dxfId="3840">
      <pivotArea collapsedLevelsAreSubtotals="1" fieldPosition="0">
        <references count="3">
          <reference field="4294967294" count="1" selected="0">
            <x v="1"/>
          </reference>
          <reference field="0" count="1" selected="0">
            <x v="51"/>
          </reference>
          <reference field="1" count="1">
            <x v="74"/>
          </reference>
        </references>
      </pivotArea>
    </format>
    <format dxfId="3841">
      <pivotArea collapsedLevelsAreSubtotals="1" fieldPosition="0">
        <references count="2">
          <reference field="4294967294" count="1" selected="0">
            <x v="1"/>
          </reference>
          <reference field="0" count="1">
            <x v="52"/>
          </reference>
        </references>
      </pivotArea>
    </format>
    <format dxfId="3842">
      <pivotArea collapsedLevelsAreSubtotals="1" fieldPosition="0">
        <references count="3">
          <reference field="4294967294" count="1" selected="0">
            <x v="1"/>
          </reference>
          <reference field="0" count="1" selected="0">
            <x v="52"/>
          </reference>
          <reference field="1" count="1">
            <x v="75"/>
          </reference>
        </references>
      </pivotArea>
    </format>
    <format dxfId="3843">
      <pivotArea collapsedLevelsAreSubtotals="1" fieldPosition="0">
        <references count="2">
          <reference field="4294967294" count="1" selected="0">
            <x v="1"/>
          </reference>
          <reference field="0" count="1">
            <x v="53"/>
          </reference>
        </references>
      </pivotArea>
    </format>
    <format dxfId="3844">
      <pivotArea collapsedLevelsAreSubtotals="1" fieldPosition="0">
        <references count="3">
          <reference field="4294967294" count="1" selected="0">
            <x v="1"/>
          </reference>
          <reference field="0" count="1" selected="0">
            <x v="53"/>
          </reference>
          <reference field="1" count="1">
            <x v="76"/>
          </reference>
        </references>
      </pivotArea>
    </format>
    <format dxfId="3845">
      <pivotArea collapsedLevelsAreSubtotals="1" fieldPosition="0">
        <references count="2">
          <reference field="4294967294" count="1" selected="0">
            <x v="1"/>
          </reference>
          <reference field="0" count="1">
            <x v="54"/>
          </reference>
        </references>
      </pivotArea>
    </format>
    <format dxfId="3846">
      <pivotArea collapsedLevelsAreSubtotals="1" fieldPosition="0">
        <references count="3">
          <reference field="4294967294" count="1" selected="0">
            <x v="1"/>
          </reference>
          <reference field="0" count="1" selected="0">
            <x v="54"/>
          </reference>
          <reference field="1" count="1">
            <x v="77"/>
          </reference>
        </references>
      </pivotArea>
    </format>
    <format dxfId="3847">
      <pivotArea collapsedLevelsAreSubtotals="1" fieldPosition="0">
        <references count="2">
          <reference field="4294967294" count="1" selected="0">
            <x v="1"/>
          </reference>
          <reference field="0" count="1">
            <x v="55"/>
          </reference>
        </references>
      </pivotArea>
    </format>
    <format dxfId="3848">
      <pivotArea collapsedLevelsAreSubtotals="1" fieldPosition="0">
        <references count="3">
          <reference field="4294967294" count="1" selected="0">
            <x v="1"/>
          </reference>
          <reference field="0" count="1" selected="0">
            <x v="55"/>
          </reference>
          <reference field="1" count="1">
            <x v="8"/>
          </reference>
        </references>
      </pivotArea>
    </format>
    <format dxfId="3849">
      <pivotArea collapsedLevelsAreSubtotals="1" fieldPosition="0">
        <references count="2">
          <reference field="4294967294" count="1" selected="0">
            <x v="1"/>
          </reference>
          <reference field="0" count="1">
            <x v="56"/>
          </reference>
        </references>
      </pivotArea>
    </format>
    <format dxfId="3850">
      <pivotArea collapsedLevelsAreSubtotals="1" fieldPosition="0">
        <references count="3">
          <reference field="4294967294" count="1" selected="0">
            <x v="1"/>
          </reference>
          <reference field="0" count="1" selected="0">
            <x v="56"/>
          </reference>
          <reference field="1" count="1">
            <x v="78"/>
          </reference>
        </references>
      </pivotArea>
    </format>
    <format dxfId="3851">
      <pivotArea collapsedLevelsAreSubtotals="1" fieldPosition="0">
        <references count="2">
          <reference field="4294967294" count="1" selected="0">
            <x v="1"/>
          </reference>
          <reference field="0" count="1">
            <x v="57"/>
          </reference>
        </references>
      </pivotArea>
    </format>
    <format dxfId="3852">
      <pivotArea collapsedLevelsAreSubtotals="1" fieldPosition="0">
        <references count="3">
          <reference field="4294967294" count="1" selected="0">
            <x v="1"/>
          </reference>
          <reference field="0" count="1" selected="0">
            <x v="57"/>
          </reference>
          <reference field="1" count="1">
            <x v="79"/>
          </reference>
        </references>
      </pivotArea>
    </format>
    <format dxfId="3853">
      <pivotArea collapsedLevelsAreSubtotals="1" fieldPosition="0">
        <references count="2">
          <reference field="4294967294" count="1" selected="0">
            <x v="1"/>
          </reference>
          <reference field="0" count="1">
            <x v="58"/>
          </reference>
        </references>
      </pivotArea>
    </format>
    <format dxfId="3854">
      <pivotArea collapsedLevelsAreSubtotals="1" fieldPosition="0">
        <references count="3">
          <reference field="4294967294" count="1" selected="0">
            <x v="1"/>
          </reference>
          <reference field="0" count="1" selected="0">
            <x v="58"/>
          </reference>
          <reference field="1" count="2">
            <x v="80"/>
            <x v="81"/>
          </reference>
        </references>
      </pivotArea>
    </format>
    <format dxfId="3855">
      <pivotArea collapsedLevelsAreSubtotals="1" fieldPosition="0">
        <references count="2">
          <reference field="4294967294" count="1" selected="0">
            <x v="1"/>
          </reference>
          <reference field="0" count="1">
            <x v="59"/>
          </reference>
        </references>
      </pivotArea>
    </format>
    <format dxfId="3856">
      <pivotArea collapsedLevelsAreSubtotals="1" fieldPosition="0">
        <references count="3">
          <reference field="4294967294" count="1" selected="0">
            <x v="1"/>
          </reference>
          <reference field="0" count="1" selected="0">
            <x v="59"/>
          </reference>
          <reference field="1" count="1">
            <x v="82"/>
          </reference>
        </references>
      </pivotArea>
    </format>
    <format dxfId="3857">
      <pivotArea collapsedLevelsAreSubtotals="1" fieldPosition="0">
        <references count="2">
          <reference field="4294967294" count="1" selected="0">
            <x v="1"/>
          </reference>
          <reference field="0" count="1">
            <x v="60"/>
          </reference>
        </references>
      </pivotArea>
    </format>
    <format dxfId="3858">
      <pivotArea collapsedLevelsAreSubtotals="1" fieldPosition="0">
        <references count="3">
          <reference field="4294967294" count="1" selected="0">
            <x v="1"/>
          </reference>
          <reference field="0" count="1" selected="0">
            <x v="60"/>
          </reference>
          <reference field="1" count="1">
            <x v="83"/>
          </reference>
        </references>
      </pivotArea>
    </format>
    <format dxfId="3859">
      <pivotArea collapsedLevelsAreSubtotals="1" fieldPosition="0">
        <references count="2">
          <reference field="4294967294" count="1" selected="0">
            <x v="1"/>
          </reference>
          <reference field="0" count="1">
            <x v="61"/>
          </reference>
        </references>
      </pivotArea>
    </format>
    <format dxfId="3860">
      <pivotArea collapsedLevelsAreSubtotals="1" fieldPosition="0">
        <references count="3">
          <reference field="4294967294" count="1" selected="0">
            <x v="1"/>
          </reference>
          <reference field="0" count="1" selected="0">
            <x v="61"/>
          </reference>
          <reference field="1" count="3">
            <x v="5"/>
            <x v="6"/>
            <x v="7"/>
          </reference>
        </references>
      </pivotArea>
    </format>
    <format dxfId="3861">
      <pivotArea collapsedLevelsAreSubtotals="1" fieldPosition="0">
        <references count="2">
          <reference field="4294967294" count="1" selected="0">
            <x v="1"/>
          </reference>
          <reference field="0" count="1">
            <x v="62"/>
          </reference>
        </references>
      </pivotArea>
    </format>
    <format dxfId="3862">
      <pivotArea collapsedLevelsAreSubtotals="1" fieldPosition="0">
        <references count="3">
          <reference field="4294967294" count="1" selected="0">
            <x v="1"/>
          </reference>
          <reference field="0" count="1" selected="0">
            <x v="62"/>
          </reference>
          <reference field="1" count="2">
            <x v="84"/>
            <x v="85"/>
          </reference>
        </references>
      </pivotArea>
    </format>
    <format dxfId="3863">
      <pivotArea collapsedLevelsAreSubtotals="1" fieldPosition="0">
        <references count="2">
          <reference field="4294967294" count="1" selected="0">
            <x v="1"/>
          </reference>
          <reference field="0" count="1">
            <x v="63"/>
          </reference>
        </references>
      </pivotArea>
    </format>
    <format dxfId="3864">
      <pivotArea collapsedLevelsAreSubtotals="1" fieldPosition="0">
        <references count="3">
          <reference field="4294967294" count="1" selected="0">
            <x v="1"/>
          </reference>
          <reference field="0" count="1" selected="0">
            <x v="63"/>
          </reference>
          <reference field="1" count="1">
            <x v="2"/>
          </reference>
        </references>
      </pivotArea>
    </format>
    <format dxfId="3865">
      <pivotArea collapsedLevelsAreSubtotals="1" fieldPosition="0">
        <references count="2">
          <reference field="4294967294" count="1" selected="0">
            <x v="1"/>
          </reference>
          <reference field="0" count="1">
            <x v="64"/>
          </reference>
        </references>
      </pivotArea>
    </format>
    <format dxfId="3866">
      <pivotArea collapsedLevelsAreSubtotals="1" fieldPosition="0">
        <references count="3">
          <reference field="4294967294" count="1" selected="0">
            <x v="1"/>
          </reference>
          <reference field="0" count="1" selected="0">
            <x v="64"/>
          </reference>
          <reference field="1" count="1">
            <x v="86"/>
          </reference>
        </references>
      </pivotArea>
    </format>
    <format dxfId="3867">
      <pivotArea collapsedLevelsAreSubtotals="1" fieldPosition="0">
        <references count="2">
          <reference field="4294967294" count="1" selected="0">
            <x v="1"/>
          </reference>
          <reference field="0" count="1">
            <x v="65"/>
          </reference>
        </references>
      </pivotArea>
    </format>
    <format dxfId="3868">
      <pivotArea collapsedLevelsAreSubtotals="1" fieldPosition="0">
        <references count="3">
          <reference field="4294967294" count="1" selected="0">
            <x v="1"/>
          </reference>
          <reference field="0" count="1" selected="0">
            <x v="65"/>
          </reference>
          <reference field="1" count="1">
            <x v="87"/>
          </reference>
        </references>
      </pivotArea>
    </format>
    <format dxfId="3869">
      <pivotArea collapsedLevelsAreSubtotals="1" fieldPosition="0">
        <references count="2">
          <reference field="4294967294" count="1" selected="0">
            <x v="1"/>
          </reference>
          <reference field="0" count="1">
            <x v="66"/>
          </reference>
        </references>
      </pivotArea>
    </format>
    <format dxfId="3870">
      <pivotArea collapsedLevelsAreSubtotals="1" fieldPosition="0">
        <references count="3">
          <reference field="4294967294" count="1" selected="0">
            <x v="1"/>
          </reference>
          <reference field="0" count="1" selected="0">
            <x v="66"/>
          </reference>
          <reference field="1" count="1">
            <x v="88"/>
          </reference>
        </references>
      </pivotArea>
    </format>
    <format dxfId="3871">
      <pivotArea collapsedLevelsAreSubtotals="1" fieldPosition="0">
        <references count="2">
          <reference field="4294967294" count="1" selected="0">
            <x v="1"/>
          </reference>
          <reference field="0" count="1">
            <x v="67"/>
          </reference>
        </references>
      </pivotArea>
    </format>
    <format dxfId="3872">
      <pivotArea collapsedLevelsAreSubtotals="1" fieldPosition="0">
        <references count="3">
          <reference field="4294967294" count="1" selected="0">
            <x v="1"/>
          </reference>
          <reference field="0" count="1" selected="0">
            <x v="67"/>
          </reference>
          <reference field="1" count="1">
            <x v="89"/>
          </reference>
        </references>
      </pivotArea>
    </format>
    <format dxfId="3873">
      <pivotArea collapsedLevelsAreSubtotals="1" fieldPosition="0">
        <references count="2">
          <reference field="4294967294" count="1" selected="0">
            <x v="1"/>
          </reference>
          <reference field="0" count="1">
            <x v="68"/>
          </reference>
        </references>
      </pivotArea>
    </format>
    <format dxfId="3874">
      <pivotArea collapsedLevelsAreSubtotals="1" fieldPosition="0">
        <references count="3">
          <reference field="4294967294" count="1" selected="0">
            <x v="1"/>
          </reference>
          <reference field="0" count="1" selected="0">
            <x v="68"/>
          </reference>
          <reference field="1" count="2">
            <x v="90"/>
            <x v="91"/>
          </reference>
        </references>
      </pivotArea>
    </format>
    <format dxfId="3875">
      <pivotArea collapsedLevelsAreSubtotals="1" fieldPosition="0">
        <references count="2">
          <reference field="4294967294" count="1" selected="0">
            <x v="1"/>
          </reference>
          <reference field="0" count="1">
            <x v="69"/>
          </reference>
        </references>
      </pivotArea>
    </format>
    <format dxfId="3876">
      <pivotArea collapsedLevelsAreSubtotals="1" fieldPosition="0">
        <references count="3">
          <reference field="4294967294" count="1" selected="0">
            <x v="1"/>
          </reference>
          <reference field="0" count="1" selected="0">
            <x v="69"/>
          </reference>
          <reference field="1" count="1">
            <x v="11"/>
          </reference>
        </references>
      </pivotArea>
    </format>
    <format dxfId="3877">
      <pivotArea collapsedLevelsAreSubtotals="1" fieldPosition="0">
        <references count="2">
          <reference field="4294967294" count="1" selected="0">
            <x v="1"/>
          </reference>
          <reference field="0" count="1">
            <x v="70"/>
          </reference>
        </references>
      </pivotArea>
    </format>
    <format dxfId="3878">
      <pivotArea collapsedLevelsAreSubtotals="1" fieldPosition="0">
        <references count="3">
          <reference field="4294967294" count="1" selected="0">
            <x v="1"/>
          </reference>
          <reference field="0" count="1" selected="0">
            <x v="70"/>
          </reference>
          <reference field="1" count="2">
            <x v="92"/>
            <x v="93"/>
          </reference>
        </references>
      </pivotArea>
    </format>
    <format dxfId="3879">
      <pivotArea collapsedLevelsAreSubtotals="1" fieldPosition="0">
        <references count="2">
          <reference field="4294967294" count="1" selected="0">
            <x v="1"/>
          </reference>
          <reference field="0" count="1">
            <x v="71"/>
          </reference>
        </references>
      </pivotArea>
    </format>
    <format dxfId="3880">
      <pivotArea collapsedLevelsAreSubtotals="1" fieldPosition="0">
        <references count="3">
          <reference field="4294967294" count="1" selected="0">
            <x v="1"/>
          </reference>
          <reference field="0" count="1" selected="0">
            <x v="71"/>
          </reference>
          <reference field="1" count="1">
            <x v="94"/>
          </reference>
        </references>
      </pivotArea>
    </format>
    <format dxfId="3881">
      <pivotArea collapsedLevelsAreSubtotals="1" fieldPosition="0">
        <references count="2">
          <reference field="4294967294" count="1" selected="0">
            <x v="1"/>
          </reference>
          <reference field="0" count="1">
            <x v="72"/>
          </reference>
        </references>
      </pivotArea>
    </format>
    <format dxfId="3882">
      <pivotArea collapsedLevelsAreSubtotals="1" fieldPosition="0">
        <references count="3">
          <reference field="4294967294" count="1" selected="0">
            <x v="1"/>
          </reference>
          <reference field="0" count="1" selected="0">
            <x v="72"/>
          </reference>
          <reference field="1" count="1">
            <x v="95"/>
          </reference>
        </references>
      </pivotArea>
    </format>
    <format dxfId="3883">
      <pivotArea collapsedLevelsAreSubtotals="1" fieldPosition="0">
        <references count="2">
          <reference field="4294967294" count="1" selected="0">
            <x v="1"/>
          </reference>
          <reference field="0" count="1">
            <x v="73"/>
          </reference>
        </references>
      </pivotArea>
    </format>
    <format dxfId="3884">
      <pivotArea collapsedLevelsAreSubtotals="1" fieldPosition="0">
        <references count="3">
          <reference field="4294967294" count="1" selected="0">
            <x v="1"/>
          </reference>
          <reference field="0" count="1" selected="0">
            <x v="73"/>
          </reference>
          <reference field="1" count="2">
            <x v="96"/>
            <x v="97"/>
          </reference>
        </references>
      </pivotArea>
    </format>
    <format dxfId="3885">
      <pivotArea collapsedLevelsAreSubtotals="1" fieldPosition="0">
        <references count="2">
          <reference field="4294967294" count="1" selected="0">
            <x v="1"/>
          </reference>
          <reference field="0" count="1">
            <x v="74"/>
          </reference>
        </references>
      </pivotArea>
    </format>
    <format dxfId="3886">
      <pivotArea collapsedLevelsAreSubtotals="1" fieldPosition="0">
        <references count="3">
          <reference field="4294967294" count="1" selected="0">
            <x v="1"/>
          </reference>
          <reference field="0" count="1" selected="0">
            <x v="74"/>
          </reference>
          <reference field="1" count="1">
            <x v="98"/>
          </reference>
        </references>
      </pivotArea>
    </format>
    <format dxfId="3887">
      <pivotArea collapsedLevelsAreSubtotals="1" fieldPosition="0">
        <references count="2">
          <reference field="4294967294" count="1" selected="0">
            <x v="1"/>
          </reference>
          <reference field="0" count="1">
            <x v="75"/>
          </reference>
        </references>
      </pivotArea>
    </format>
    <format dxfId="3888">
      <pivotArea collapsedLevelsAreSubtotals="1" fieldPosition="0">
        <references count="3">
          <reference field="4294967294" count="1" selected="0">
            <x v="1"/>
          </reference>
          <reference field="0" count="1" selected="0">
            <x v="75"/>
          </reference>
          <reference field="1" count="1">
            <x v="3"/>
          </reference>
        </references>
      </pivotArea>
    </format>
    <format dxfId="3889">
      <pivotArea collapsedLevelsAreSubtotals="1" fieldPosition="0">
        <references count="2">
          <reference field="4294967294" count="1" selected="0">
            <x v="1"/>
          </reference>
          <reference field="0" count="1">
            <x v="76"/>
          </reference>
        </references>
      </pivotArea>
    </format>
    <format dxfId="3890">
      <pivotArea collapsedLevelsAreSubtotals="1" fieldPosition="0">
        <references count="3">
          <reference field="4294967294" count="1" selected="0">
            <x v="1"/>
          </reference>
          <reference field="0" count="1" selected="0">
            <x v="76"/>
          </reference>
          <reference field="1" count="1">
            <x v="99"/>
          </reference>
        </references>
      </pivotArea>
    </format>
    <format dxfId="3891">
      <pivotArea collapsedLevelsAreSubtotals="1" fieldPosition="0">
        <references count="2">
          <reference field="4294967294" count="1" selected="0">
            <x v="1"/>
          </reference>
          <reference field="0" count="1">
            <x v="77"/>
          </reference>
        </references>
      </pivotArea>
    </format>
    <format dxfId="3892">
      <pivotArea collapsedLevelsAreSubtotals="1" fieldPosition="0">
        <references count="3">
          <reference field="4294967294" count="1" selected="0">
            <x v="1"/>
          </reference>
          <reference field="0" count="1" selected="0">
            <x v="77"/>
          </reference>
          <reference field="1" count="2">
            <x v="100"/>
            <x v="101"/>
          </reference>
        </references>
      </pivotArea>
    </format>
    <format dxfId="3893">
      <pivotArea collapsedLevelsAreSubtotals="1" fieldPosition="0">
        <references count="2">
          <reference field="4294967294" count="1" selected="0">
            <x v="1"/>
          </reference>
          <reference field="0" count="1">
            <x v="78"/>
          </reference>
        </references>
      </pivotArea>
    </format>
    <format dxfId="3894">
      <pivotArea collapsedLevelsAreSubtotals="1" fieldPosition="0">
        <references count="3">
          <reference field="4294967294" count="1" selected="0">
            <x v="1"/>
          </reference>
          <reference field="0" count="1" selected="0">
            <x v="78"/>
          </reference>
          <reference field="1" count="1">
            <x v="102"/>
          </reference>
        </references>
      </pivotArea>
    </format>
    <format dxfId="3895">
      <pivotArea collapsedLevelsAreSubtotals="1" fieldPosition="0">
        <references count="2">
          <reference field="4294967294" count="1" selected="0">
            <x v="1"/>
          </reference>
          <reference field="0" count="1">
            <x v="79"/>
          </reference>
        </references>
      </pivotArea>
    </format>
    <format dxfId="3896">
      <pivotArea collapsedLevelsAreSubtotals="1" fieldPosition="0">
        <references count="3">
          <reference field="4294967294" count="1" selected="0">
            <x v="1"/>
          </reference>
          <reference field="0" count="1" selected="0">
            <x v="79"/>
          </reference>
          <reference field="1" count="1">
            <x v="103"/>
          </reference>
        </references>
      </pivotArea>
    </format>
    <format dxfId="3897">
      <pivotArea collapsedLevelsAreSubtotals="1" fieldPosition="0">
        <references count="2">
          <reference field="4294967294" count="1" selected="0">
            <x v="1"/>
          </reference>
          <reference field="0" count="1">
            <x v="80"/>
          </reference>
        </references>
      </pivotArea>
    </format>
    <format dxfId="3898">
      <pivotArea collapsedLevelsAreSubtotals="1" fieldPosition="0">
        <references count="3">
          <reference field="4294967294" count="1" selected="0">
            <x v="1"/>
          </reference>
          <reference field="0" count="1" selected="0">
            <x v="80"/>
          </reference>
          <reference field="1" count="1">
            <x v="104"/>
          </reference>
        </references>
      </pivotArea>
    </format>
    <format dxfId="3899">
      <pivotArea collapsedLevelsAreSubtotals="1" fieldPosition="0">
        <references count="2">
          <reference field="4294967294" count="1" selected="0">
            <x v="1"/>
          </reference>
          <reference field="0" count="1">
            <x v="0"/>
          </reference>
        </references>
      </pivotArea>
    </format>
    <format dxfId="3900">
      <pivotArea collapsedLevelsAreSubtotals="1" fieldPosition="0">
        <references count="3">
          <reference field="4294967294" count="1" selected="0">
            <x v="1"/>
          </reference>
          <reference field="0" count="1" selected="0">
            <x v="0"/>
          </reference>
          <reference field="1" count="4">
            <x v="12"/>
            <x v="13"/>
            <x v="14"/>
            <x v="15"/>
          </reference>
        </references>
      </pivotArea>
    </format>
    <format dxfId="3901">
      <pivotArea collapsedLevelsAreSubtotals="1" fieldPosition="0">
        <references count="2">
          <reference field="4294967294" count="1" selected="0">
            <x v="1"/>
          </reference>
          <reference field="0" count="1">
            <x v="1"/>
          </reference>
        </references>
      </pivotArea>
    </format>
    <format dxfId="3902">
      <pivotArea collapsedLevelsAreSubtotals="1" fieldPosition="0">
        <references count="3">
          <reference field="4294967294" count="1" selected="0">
            <x v="1"/>
          </reference>
          <reference field="0" count="1" selected="0">
            <x v="1"/>
          </reference>
          <reference field="1" count="2">
            <x v="16"/>
            <x v="17"/>
          </reference>
        </references>
      </pivotArea>
    </format>
    <format dxfId="3903">
      <pivotArea collapsedLevelsAreSubtotals="1" fieldPosition="0">
        <references count="2">
          <reference field="4294967294" count="1" selected="0">
            <x v="1"/>
          </reference>
          <reference field="0" count="1">
            <x v="2"/>
          </reference>
        </references>
      </pivotArea>
    </format>
    <format dxfId="3904">
      <pivotArea collapsedLevelsAreSubtotals="1" fieldPosition="0">
        <references count="3">
          <reference field="4294967294" count="1" selected="0">
            <x v="1"/>
          </reference>
          <reference field="0" count="1" selected="0">
            <x v="2"/>
          </reference>
          <reference field="1" count="1">
            <x v="18"/>
          </reference>
        </references>
      </pivotArea>
    </format>
    <format dxfId="3905">
      <pivotArea collapsedLevelsAreSubtotals="1" fieldPosition="0">
        <references count="2">
          <reference field="4294967294" count="1" selected="0">
            <x v="1"/>
          </reference>
          <reference field="0" count="1">
            <x v="3"/>
          </reference>
        </references>
      </pivotArea>
    </format>
    <format dxfId="3906">
      <pivotArea collapsedLevelsAreSubtotals="1" fieldPosition="0">
        <references count="3">
          <reference field="4294967294" count="1" selected="0">
            <x v="1"/>
          </reference>
          <reference field="0" count="1" selected="0">
            <x v="3"/>
          </reference>
          <reference field="1" count="1">
            <x v="19"/>
          </reference>
        </references>
      </pivotArea>
    </format>
    <format dxfId="3907">
      <pivotArea collapsedLevelsAreSubtotals="1" fieldPosition="0">
        <references count="2">
          <reference field="4294967294" count="1" selected="0">
            <x v="1"/>
          </reference>
          <reference field="0" count="1">
            <x v="4"/>
          </reference>
        </references>
      </pivotArea>
    </format>
    <format dxfId="3908">
      <pivotArea collapsedLevelsAreSubtotals="1" fieldPosition="0">
        <references count="3">
          <reference field="4294967294" count="1" selected="0">
            <x v="1"/>
          </reference>
          <reference field="0" count="1" selected="0">
            <x v="4"/>
          </reference>
          <reference field="1" count="1">
            <x v="20"/>
          </reference>
        </references>
      </pivotArea>
    </format>
    <format dxfId="3909">
      <pivotArea collapsedLevelsAreSubtotals="1" fieldPosition="0">
        <references count="2">
          <reference field="4294967294" count="1" selected="0">
            <x v="1"/>
          </reference>
          <reference field="0" count="1">
            <x v="5"/>
          </reference>
        </references>
      </pivotArea>
    </format>
    <format dxfId="3910">
      <pivotArea collapsedLevelsAreSubtotals="1" fieldPosition="0">
        <references count="3">
          <reference field="4294967294" count="1" selected="0">
            <x v="1"/>
          </reference>
          <reference field="0" count="1" selected="0">
            <x v="5"/>
          </reference>
          <reference field="1" count="1">
            <x v="21"/>
          </reference>
        </references>
      </pivotArea>
    </format>
    <format dxfId="3911">
      <pivotArea collapsedLevelsAreSubtotals="1" fieldPosition="0">
        <references count="2">
          <reference field="4294967294" count="1" selected="0">
            <x v="1"/>
          </reference>
          <reference field="0" count="1">
            <x v="6"/>
          </reference>
        </references>
      </pivotArea>
    </format>
    <format dxfId="3912">
      <pivotArea collapsedLevelsAreSubtotals="1" fieldPosition="0">
        <references count="3">
          <reference field="4294967294" count="1" selected="0">
            <x v="1"/>
          </reference>
          <reference field="0" count="1" selected="0">
            <x v="6"/>
          </reference>
          <reference field="1" count="1">
            <x v="22"/>
          </reference>
        </references>
      </pivotArea>
    </format>
    <format dxfId="3913">
      <pivotArea collapsedLevelsAreSubtotals="1" fieldPosition="0">
        <references count="2">
          <reference field="4294967294" count="1" selected="0">
            <x v="1"/>
          </reference>
          <reference field="0" count="1">
            <x v="7"/>
          </reference>
        </references>
      </pivotArea>
    </format>
    <format dxfId="3914">
      <pivotArea collapsedLevelsAreSubtotals="1" fieldPosition="0">
        <references count="3">
          <reference field="4294967294" count="1" selected="0">
            <x v="1"/>
          </reference>
          <reference field="0" count="1" selected="0">
            <x v="7"/>
          </reference>
          <reference field="1" count="1">
            <x v="23"/>
          </reference>
        </references>
      </pivotArea>
    </format>
    <format dxfId="3915">
      <pivotArea collapsedLevelsAreSubtotals="1" fieldPosition="0">
        <references count="2">
          <reference field="4294967294" count="1" selected="0">
            <x v="1"/>
          </reference>
          <reference field="0" count="1">
            <x v="8"/>
          </reference>
        </references>
      </pivotArea>
    </format>
    <format dxfId="3916">
      <pivotArea collapsedLevelsAreSubtotals="1" fieldPosition="0">
        <references count="3">
          <reference field="4294967294" count="1" selected="0">
            <x v="1"/>
          </reference>
          <reference field="0" count="1" selected="0">
            <x v="8"/>
          </reference>
          <reference field="1" count="1">
            <x v="24"/>
          </reference>
        </references>
      </pivotArea>
    </format>
    <format dxfId="3917">
      <pivotArea collapsedLevelsAreSubtotals="1" fieldPosition="0">
        <references count="2">
          <reference field="4294967294" count="1" selected="0">
            <x v="1"/>
          </reference>
          <reference field="0" count="1">
            <x v="9"/>
          </reference>
        </references>
      </pivotArea>
    </format>
    <format dxfId="3918">
      <pivotArea collapsedLevelsAreSubtotals="1" fieldPosition="0">
        <references count="3">
          <reference field="4294967294" count="1" selected="0">
            <x v="1"/>
          </reference>
          <reference field="0" count="1" selected="0">
            <x v="9"/>
          </reference>
          <reference field="1" count="2">
            <x v="25"/>
            <x v="26"/>
          </reference>
        </references>
      </pivotArea>
    </format>
    <format dxfId="3919">
      <pivotArea collapsedLevelsAreSubtotals="1" fieldPosition="0">
        <references count="2">
          <reference field="4294967294" count="1" selected="0">
            <x v="1"/>
          </reference>
          <reference field="0" count="1">
            <x v="10"/>
          </reference>
        </references>
      </pivotArea>
    </format>
    <format dxfId="3920">
      <pivotArea collapsedLevelsAreSubtotals="1" fieldPosition="0">
        <references count="3">
          <reference field="4294967294" count="1" selected="0">
            <x v="1"/>
          </reference>
          <reference field="0" count="1" selected="0">
            <x v="10"/>
          </reference>
          <reference field="1" count="1">
            <x v="27"/>
          </reference>
        </references>
      </pivotArea>
    </format>
    <format dxfId="3921">
      <pivotArea collapsedLevelsAreSubtotals="1" fieldPosition="0">
        <references count="2">
          <reference field="4294967294" count="1" selected="0">
            <x v="1"/>
          </reference>
          <reference field="0" count="1">
            <x v="11"/>
          </reference>
        </references>
      </pivotArea>
    </format>
    <format dxfId="3922">
      <pivotArea collapsedLevelsAreSubtotals="1" fieldPosition="0">
        <references count="3">
          <reference field="4294967294" count="1" selected="0">
            <x v="1"/>
          </reference>
          <reference field="0" count="1" selected="0">
            <x v="11"/>
          </reference>
          <reference field="1" count="1">
            <x v="28"/>
          </reference>
        </references>
      </pivotArea>
    </format>
    <format dxfId="3923">
      <pivotArea collapsedLevelsAreSubtotals="1" fieldPosition="0">
        <references count="2">
          <reference field="4294967294" count="1" selected="0">
            <x v="1"/>
          </reference>
          <reference field="0" count="1">
            <x v="12"/>
          </reference>
        </references>
      </pivotArea>
    </format>
    <format dxfId="3924">
      <pivotArea collapsedLevelsAreSubtotals="1" fieldPosition="0">
        <references count="3">
          <reference field="4294967294" count="1" selected="0">
            <x v="1"/>
          </reference>
          <reference field="0" count="1" selected="0">
            <x v="12"/>
          </reference>
          <reference field="1" count="1">
            <x v="29"/>
          </reference>
        </references>
      </pivotArea>
    </format>
    <format dxfId="3925">
      <pivotArea collapsedLevelsAreSubtotals="1" fieldPosition="0">
        <references count="2">
          <reference field="4294967294" count="1" selected="0">
            <x v="1"/>
          </reference>
          <reference field="0" count="1">
            <x v="13"/>
          </reference>
        </references>
      </pivotArea>
    </format>
    <format dxfId="3926">
      <pivotArea collapsedLevelsAreSubtotals="1" fieldPosition="0">
        <references count="3">
          <reference field="4294967294" count="1" selected="0">
            <x v="1"/>
          </reference>
          <reference field="0" count="1" selected="0">
            <x v="13"/>
          </reference>
          <reference field="1" count="1">
            <x v="30"/>
          </reference>
        </references>
      </pivotArea>
    </format>
    <format dxfId="3927">
      <pivotArea collapsedLevelsAreSubtotals="1" fieldPosition="0">
        <references count="2">
          <reference field="4294967294" count="1" selected="0">
            <x v="1"/>
          </reference>
          <reference field="0" count="1">
            <x v="14"/>
          </reference>
        </references>
      </pivotArea>
    </format>
    <format dxfId="3928">
      <pivotArea collapsedLevelsAreSubtotals="1" fieldPosition="0">
        <references count="3">
          <reference field="4294967294" count="1" selected="0">
            <x v="1"/>
          </reference>
          <reference field="0" count="1" selected="0">
            <x v="14"/>
          </reference>
          <reference field="1" count="2">
            <x v="31"/>
            <x v="32"/>
          </reference>
        </references>
      </pivotArea>
    </format>
    <format dxfId="3929">
      <pivotArea collapsedLevelsAreSubtotals="1" fieldPosition="0">
        <references count="2">
          <reference field="4294967294" count="1" selected="0">
            <x v="1"/>
          </reference>
          <reference field="0" count="1">
            <x v="15"/>
          </reference>
        </references>
      </pivotArea>
    </format>
    <format dxfId="3930">
      <pivotArea collapsedLevelsAreSubtotals="1" fieldPosition="0">
        <references count="3">
          <reference field="4294967294" count="1" selected="0">
            <x v="1"/>
          </reference>
          <reference field="0" count="1" selected="0">
            <x v="15"/>
          </reference>
          <reference field="1" count="1">
            <x v="33"/>
          </reference>
        </references>
      </pivotArea>
    </format>
    <format dxfId="3931">
      <pivotArea collapsedLevelsAreSubtotals="1" fieldPosition="0">
        <references count="2">
          <reference field="4294967294" count="1" selected="0">
            <x v="1"/>
          </reference>
          <reference field="0" count="1">
            <x v="16"/>
          </reference>
        </references>
      </pivotArea>
    </format>
    <format dxfId="3932">
      <pivotArea collapsedLevelsAreSubtotals="1" fieldPosition="0">
        <references count="3">
          <reference field="4294967294" count="1" selected="0">
            <x v="1"/>
          </reference>
          <reference field="0" count="1" selected="0">
            <x v="16"/>
          </reference>
          <reference field="1" count="1">
            <x v="34"/>
          </reference>
        </references>
      </pivotArea>
    </format>
    <format dxfId="3933">
      <pivotArea collapsedLevelsAreSubtotals="1" fieldPosition="0">
        <references count="2">
          <reference field="4294967294" count="1" selected="0">
            <x v="1"/>
          </reference>
          <reference field="0" count="1">
            <x v="17"/>
          </reference>
        </references>
      </pivotArea>
    </format>
    <format dxfId="3934">
      <pivotArea collapsedLevelsAreSubtotals="1" fieldPosition="0">
        <references count="3">
          <reference field="4294967294" count="1" selected="0">
            <x v="1"/>
          </reference>
          <reference field="0" count="1" selected="0">
            <x v="17"/>
          </reference>
          <reference field="1" count="1">
            <x v="35"/>
          </reference>
        </references>
      </pivotArea>
    </format>
    <format dxfId="3935">
      <pivotArea collapsedLevelsAreSubtotals="1" fieldPosition="0">
        <references count="2">
          <reference field="4294967294" count="1" selected="0">
            <x v="1"/>
          </reference>
          <reference field="0" count="1">
            <x v="18"/>
          </reference>
        </references>
      </pivotArea>
    </format>
    <format dxfId="3936">
      <pivotArea collapsedLevelsAreSubtotals="1" fieldPosition="0">
        <references count="3">
          <reference field="4294967294" count="1" selected="0">
            <x v="1"/>
          </reference>
          <reference field="0" count="1" selected="0">
            <x v="18"/>
          </reference>
          <reference field="1" count="1">
            <x v="36"/>
          </reference>
        </references>
      </pivotArea>
    </format>
    <format dxfId="3937">
      <pivotArea collapsedLevelsAreSubtotals="1" fieldPosition="0">
        <references count="2">
          <reference field="4294967294" count="1" selected="0">
            <x v="1"/>
          </reference>
          <reference field="0" count="1">
            <x v="19"/>
          </reference>
        </references>
      </pivotArea>
    </format>
    <format dxfId="3938">
      <pivotArea collapsedLevelsAreSubtotals="1" fieldPosition="0">
        <references count="3">
          <reference field="4294967294" count="1" selected="0">
            <x v="1"/>
          </reference>
          <reference field="0" count="1" selected="0">
            <x v="19"/>
          </reference>
          <reference field="1" count="1">
            <x v="37"/>
          </reference>
        </references>
      </pivotArea>
    </format>
    <format dxfId="3939">
      <pivotArea collapsedLevelsAreSubtotals="1" fieldPosition="0">
        <references count="2">
          <reference field="4294967294" count="1" selected="0">
            <x v="1"/>
          </reference>
          <reference field="0" count="1">
            <x v="20"/>
          </reference>
        </references>
      </pivotArea>
    </format>
    <format dxfId="3940">
      <pivotArea collapsedLevelsAreSubtotals="1" fieldPosition="0">
        <references count="3">
          <reference field="4294967294" count="1" selected="0">
            <x v="1"/>
          </reference>
          <reference field="0" count="1" selected="0">
            <x v="20"/>
          </reference>
          <reference field="1" count="1">
            <x v="38"/>
          </reference>
        </references>
      </pivotArea>
    </format>
    <format dxfId="3941">
      <pivotArea collapsedLevelsAreSubtotals="1" fieldPosition="0">
        <references count="2">
          <reference field="4294967294" count="1" selected="0">
            <x v="1"/>
          </reference>
          <reference field="0" count="1">
            <x v="21"/>
          </reference>
        </references>
      </pivotArea>
    </format>
    <format dxfId="3942">
      <pivotArea collapsedLevelsAreSubtotals="1" fieldPosition="0">
        <references count="3">
          <reference field="4294967294" count="1" selected="0">
            <x v="1"/>
          </reference>
          <reference field="0" count="1" selected="0">
            <x v="21"/>
          </reference>
          <reference field="1" count="1">
            <x v="39"/>
          </reference>
        </references>
      </pivotArea>
    </format>
    <format dxfId="3943">
      <pivotArea collapsedLevelsAreSubtotals="1" fieldPosition="0">
        <references count="2">
          <reference field="4294967294" count="1" selected="0">
            <x v="1"/>
          </reference>
          <reference field="0" count="1">
            <x v="22"/>
          </reference>
        </references>
      </pivotArea>
    </format>
    <format dxfId="3944">
      <pivotArea collapsedLevelsAreSubtotals="1" fieldPosition="0">
        <references count="3">
          <reference field="4294967294" count="1" selected="0">
            <x v="1"/>
          </reference>
          <reference field="0" count="1" selected="0">
            <x v="22"/>
          </reference>
          <reference field="1" count="1">
            <x v="40"/>
          </reference>
        </references>
      </pivotArea>
    </format>
    <format dxfId="3945">
      <pivotArea collapsedLevelsAreSubtotals="1" fieldPosition="0">
        <references count="2">
          <reference field="4294967294" count="1" selected="0">
            <x v="1"/>
          </reference>
          <reference field="0" count="1">
            <x v="23"/>
          </reference>
        </references>
      </pivotArea>
    </format>
    <format dxfId="3946">
      <pivotArea collapsedLevelsAreSubtotals="1" fieldPosition="0">
        <references count="3">
          <reference field="4294967294" count="1" selected="0">
            <x v="1"/>
          </reference>
          <reference field="0" count="1" selected="0">
            <x v="23"/>
          </reference>
          <reference field="1" count="3">
            <x v="41"/>
            <x v="42"/>
            <x v="43"/>
          </reference>
        </references>
      </pivotArea>
    </format>
    <format dxfId="3947">
      <pivotArea collapsedLevelsAreSubtotals="1" fieldPosition="0">
        <references count="2">
          <reference field="4294967294" count="1" selected="0">
            <x v="1"/>
          </reference>
          <reference field="0" count="1">
            <x v="24"/>
          </reference>
        </references>
      </pivotArea>
    </format>
    <format dxfId="3948">
      <pivotArea collapsedLevelsAreSubtotals="1" fieldPosition="0">
        <references count="3">
          <reference field="4294967294" count="1" selected="0">
            <x v="1"/>
          </reference>
          <reference field="0" count="1" selected="0">
            <x v="24"/>
          </reference>
          <reference field="1" count="3">
            <x v="44"/>
            <x v="45"/>
            <x v="46"/>
          </reference>
        </references>
      </pivotArea>
    </format>
    <format dxfId="3949">
      <pivotArea collapsedLevelsAreSubtotals="1" fieldPosition="0">
        <references count="2">
          <reference field="4294967294" count="1" selected="0">
            <x v="1"/>
          </reference>
          <reference field="0" count="1">
            <x v="25"/>
          </reference>
        </references>
      </pivotArea>
    </format>
    <format dxfId="3950">
      <pivotArea collapsedLevelsAreSubtotals="1" fieldPosition="0">
        <references count="3">
          <reference field="4294967294" count="1" selected="0">
            <x v="1"/>
          </reference>
          <reference field="0" count="1" selected="0">
            <x v="25"/>
          </reference>
          <reference field="1" count="2">
            <x v="47"/>
            <x v="48"/>
          </reference>
        </references>
      </pivotArea>
    </format>
    <format dxfId="3951">
      <pivotArea collapsedLevelsAreSubtotals="1" fieldPosition="0">
        <references count="2">
          <reference field="4294967294" count="1" selected="0">
            <x v="1"/>
          </reference>
          <reference field="0" count="1">
            <x v="26"/>
          </reference>
        </references>
      </pivotArea>
    </format>
    <format dxfId="3952">
      <pivotArea collapsedLevelsAreSubtotals="1" fieldPosition="0">
        <references count="3">
          <reference field="4294967294" count="1" selected="0">
            <x v="1"/>
          </reference>
          <reference field="0" count="1" selected="0">
            <x v="26"/>
          </reference>
          <reference field="1" count="2">
            <x v="49"/>
            <x v="50"/>
          </reference>
        </references>
      </pivotArea>
    </format>
    <format dxfId="3953">
      <pivotArea collapsedLevelsAreSubtotals="1" fieldPosition="0">
        <references count="2">
          <reference field="4294967294" count="1" selected="0">
            <x v="1"/>
          </reference>
          <reference field="0" count="1">
            <x v="27"/>
          </reference>
        </references>
      </pivotArea>
    </format>
    <format dxfId="3954">
      <pivotArea collapsedLevelsAreSubtotals="1" fieldPosition="0">
        <references count="3">
          <reference field="4294967294" count="1" selected="0">
            <x v="1"/>
          </reference>
          <reference field="0" count="1" selected="0">
            <x v="27"/>
          </reference>
          <reference field="1" count="1">
            <x v="51"/>
          </reference>
        </references>
      </pivotArea>
    </format>
    <format dxfId="3955">
      <pivotArea collapsedLevelsAreSubtotals="1" fieldPosition="0">
        <references count="2">
          <reference field="4294967294" count="1" selected="0">
            <x v="1"/>
          </reference>
          <reference field="0" count="1">
            <x v="28"/>
          </reference>
        </references>
      </pivotArea>
    </format>
    <format dxfId="3956">
      <pivotArea collapsedLevelsAreSubtotals="1" fieldPosition="0">
        <references count="3">
          <reference field="4294967294" count="1" selected="0">
            <x v="1"/>
          </reference>
          <reference field="0" count="1" selected="0">
            <x v="28"/>
          </reference>
          <reference field="1" count="1">
            <x v="52"/>
          </reference>
        </references>
      </pivotArea>
    </format>
    <format dxfId="3957">
      <pivotArea collapsedLevelsAreSubtotals="1" fieldPosition="0">
        <references count="2">
          <reference field="4294967294" count="1" selected="0">
            <x v="1"/>
          </reference>
          <reference field="0" count="1">
            <x v="29"/>
          </reference>
        </references>
      </pivotArea>
    </format>
    <format dxfId="3958">
      <pivotArea collapsedLevelsAreSubtotals="1" fieldPosition="0">
        <references count="3">
          <reference field="4294967294" count="1" selected="0">
            <x v="1"/>
          </reference>
          <reference field="0" count="1" selected="0">
            <x v="29"/>
          </reference>
          <reference field="1" count="1">
            <x v="53"/>
          </reference>
        </references>
      </pivotArea>
    </format>
    <format dxfId="3959">
      <pivotArea collapsedLevelsAreSubtotals="1" fieldPosition="0">
        <references count="2">
          <reference field="4294967294" count="1" selected="0">
            <x v="1"/>
          </reference>
          <reference field="0" count="1">
            <x v="30"/>
          </reference>
        </references>
      </pivotArea>
    </format>
    <format dxfId="3960">
      <pivotArea collapsedLevelsAreSubtotals="1" fieldPosition="0">
        <references count="3">
          <reference field="4294967294" count="1" selected="0">
            <x v="1"/>
          </reference>
          <reference field="0" count="1" selected="0">
            <x v="30"/>
          </reference>
          <reference field="1" count="1">
            <x v="54"/>
          </reference>
        </references>
      </pivotArea>
    </format>
    <format dxfId="3961">
      <pivotArea collapsedLevelsAreSubtotals="1" fieldPosition="0">
        <references count="2">
          <reference field="4294967294" count="1" selected="0">
            <x v="1"/>
          </reference>
          <reference field="0" count="1">
            <x v="31"/>
          </reference>
        </references>
      </pivotArea>
    </format>
    <format dxfId="3962">
      <pivotArea collapsedLevelsAreSubtotals="1" fieldPosition="0">
        <references count="3">
          <reference field="4294967294" count="1" selected="0">
            <x v="1"/>
          </reference>
          <reference field="0" count="1" selected="0">
            <x v="31"/>
          </reference>
          <reference field="1" count="1">
            <x v="55"/>
          </reference>
        </references>
      </pivotArea>
    </format>
    <format dxfId="3963">
      <pivotArea collapsedLevelsAreSubtotals="1" fieldPosition="0">
        <references count="2">
          <reference field="4294967294" count="1" selected="0">
            <x v="1"/>
          </reference>
          <reference field="0" count="1">
            <x v="32"/>
          </reference>
        </references>
      </pivotArea>
    </format>
    <format dxfId="3964">
      <pivotArea collapsedLevelsAreSubtotals="1" fieldPosition="0">
        <references count="3">
          <reference field="4294967294" count="1" selected="0">
            <x v="1"/>
          </reference>
          <reference field="0" count="1" selected="0">
            <x v="32"/>
          </reference>
          <reference field="1" count="1">
            <x v="56"/>
          </reference>
        </references>
      </pivotArea>
    </format>
    <format dxfId="3965">
      <pivotArea collapsedLevelsAreSubtotals="1" fieldPosition="0">
        <references count="2">
          <reference field="4294967294" count="1" selected="0">
            <x v="1"/>
          </reference>
          <reference field="0" count="1">
            <x v="33"/>
          </reference>
        </references>
      </pivotArea>
    </format>
    <format dxfId="3966">
      <pivotArea collapsedLevelsAreSubtotals="1" fieldPosition="0">
        <references count="3">
          <reference field="4294967294" count="1" selected="0">
            <x v="1"/>
          </reference>
          <reference field="0" count="1" selected="0">
            <x v="33"/>
          </reference>
          <reference field="1" count="1">
            <x v="57"/>
          </reference>
        </references>
      </pivotArea>
    </format>
    <format dxfId="3967">
      <pivotArea collapsedLevelsAreSubtotals="1" fieldPosition="0">
        <references count="2">
          <reference field="4294967294" count="1" selected="0">
            <x v="1"/>
          </reference>
          <reference field="0" count="1">
            <x v="34"/>
          </reference>
        </references>
      </pivotArea>
    </format>
    <format dxfId="3968">
      <pivotArea collapsedLevelsAreSubtotals="1" fieldPosition="0">
        <references count="3">
          <reference field="4294967294" count="1" selected="0">
            <x v="1"/>
          </reference>
          <reference field="0" count="1" selected="0">
            <x v="34"/>
          </reference>
          <reference field="1" count="1">
            <x v="9"/>
          </reference>
        </references>
      </pivotArea>
    </format>
    <format dxfId="3969">
      <pivotArea collapsedLevelsAreSubtotals="1" fieldPosition="0">
        <references count="2">
          <reference field="4294967294" count="1" selected="0">
            <x v="1"/>
          </reference>
          <reference field="0" count="1">
            <x v="35"/>
          </reference>
        </references>
      </pivotArea>
    </format>
    <format dxfId="3970">
      <pivotArea collapsedLevelsAreSubtotals="1" fieldPosition="0">
        <references count="3">
          <reference field="4294967294" count="1" selected="0">
            <x v="1"/>
          </reference>
          <reference field="0" count="1" selected="0">
            <x v="35"/>
          </reference>
          <reference field="1" count="1">
            <x v="58"/>
          </reference>
        </references>
      </pivotArea>
    </format>
    <format dxfId="3971">
      <pivotArea collapsedLevelsAreSubtotals="1" fieldPosition="0">
        <references count="2">
          <reference field="4294967294" count="1" selected="0">
            <x v="1"/>
          </reference>
          <reference field="0" count="1">
            <x v="36"/>
          </reference>
        </references>
      </pivotArea>
    </format>
    <format dxfId="3972">
      <pivotArea collapsedLevelsAreSubtotals="1" fieldPosition="0">
        <references count="3">
          <reference field="4294967294" count="1" selected="0">
            <x v="1"/>
          </reference>
          <reference field="0" count="1" selected="0">
            <x v="36"/>
          </reference>
          <reference field="1" count="2">
            <x v="59"/>
            <x v="60"/>
          </reference>
        </references>
      </pivotArea>
    </format>
    <format dxfId="3973">
      <pivotArea collapsedLevelsAreSubtotals="1" fieldPosition="0">
        <references count="2">
          <reference field="4294967294" count="1" selected="0">
            <x v="1"/>
          </reference>
          <reference field="0" count="1">
            <x v="37"/>
          </reference>
        </references>
      </pivotArea>
    </format>
    <format dxfId="3974">
      <pivotArea collapsedLevelsAreSubtotals="1" fieldPosition="0">
        <references count="3">
          <reference field="4294967294" count="1" selected="0">
            <x v="1"/>
          </reference>
          <reference field="0" count="1" selected="0">
            <x v="37"/>
          </reference>
          <reference field="1" count="2">
            <x v="0"/>
            <x v="1"/>
          </reference>
        </references>
      </pivotArea>
    </format>
    <format dxfId="3975">
      <pivotArea collapsedLevelsAreSubtotals="1" fieldPosition="0">
        <references count="2">
          <reference field="4294967294" count="1" selected="0">
            <x v="1"/>
          </reference>
          <reference field="0" count="1">
            <x v="38"/>
          </reference>
        </references>
      </pivotArea>
    </format>
    <format dxfId="3976">
      <pivotArea collapsedLevelsAreSubtotals="1" fieldPosition="0">
        <references count="3">
          <reference field="4294967294" count="1" selected="0">
            <x v="1"/>
          </reference>
          <reference field="0" count="1" selected="0">
            <x v="38"/>
          </reference>
          <reference field="1" count="2">
            <x v="61"/>
            <x v="62"/>
          </reference>
        </references>
      </pivotArea>
    </format>
    <format dxfId="3977">
      <pivotArea collapsedLevelsAreSubtotals="1" fieldPosition="0">
        <references count="2">
          <reference field="4294967294" count="1" selected="0">
            <x v="1"/>
          </reference>
          <reference field="0" count="1">
            <x v="39"/>
          </reference>
        </references>
      </pivotArea>
    </format>
    <format dxfId="3978">
      <pivotArea collapsedLevelsAreSubtotals="1" fieldPosition="0">
        <references count="3">
          <reference field="4294967294" count="1" selected="0">
            <x v="1"/>
          </reference>
          <reference field="0" count="1" selected="0">
            <x v="39"/>
          </reference>
          <reference field="1" count="1">
            <x v="10"/>
          </reference>
        </references>
      </pivotArea>
    </format>
    <format dxfId="3979">
      <pivotArea collapsedLevelsAreSubtotals="1" fieldPosition="0">
        <references count="2">
          <reference field="4294967294" count="1" selected="0">
            <x v="1"/>
          </reference>
          <reference field="0" count="1">
            <x v="40"/>
          </reference>
        </references>
      </pivotArea>
    </format>
    <format dxfId="3980">
      <pivotArea collapsedLevelsAreSubtotals="1" fieldPosition="0">
        <references count="3">
          <reference field="4294967294" count="1" selected="0">
            <x v="1"/>
          </reference>
          <reference field="0" count="1" selected="0">
            <x v="40"/>
          </reference>
          <reference field="1" count="1">
            <x v="63"/>
          </reference>
        </references>
      </pivotArea>
    </format>
    <format dxfId="3981">
      <pivotArea collapsedLevelsAreSubtotals="1" fieldPosition="0">
        <references count="2">
          <reference field="4294967294" count="1" selected="0">
            <x v="1"/>
          </reference>
          <reference field="0" count="1">
            <x v="41"/>
          </reference>
        </references>
      </pivotArea>
    </format>
    <format dxfId="3982">
      <pivotArea collapsedLevelsAreSubtotals="1" fieldPosition="0">
        <references count="3">
          <reference field="4294967294" count="1" selected="0">
            <x v="1"/>
          </reference>
          <reference field="0" count="1" selected="0">
            <x v="41"/>
          </reference>
          <reference field="1" count="1">
            <x v="64"/>
          </reference>
        </references>
      </pivotArea>
    </format>
    <format dxfId="3983">
      <pivotArea collapsedLevelsAreSubtotals="1" fieldPosition="0">
        <references count="2">
          <reference field="4294967294" count="1" selected="0">
            <x v="1"/>
          </reference>
          <reference field="0" count="1">
            <x v="42"/>
          </reference>
        </references>
      </pivotArea>
    </format>
    <format dxfId="3984">
      <pivotArea collapsedLevelsAreSubtotals="1" fieldPosition="0">
        <references count="3">
          <reference field="4294967294" count="1" selected="0">
            <x v="1"/>
          </reference>
          <reference field="0" count="1" selected="0">
            <x v="42"/>
          </reference>
          <reference field="1" count="1">
            <x v="4"/>
          </reference>
        </references>
      </pivotArea>
    </format>
    <format dxfId="3985">
      <pivotArea collapsedLevelsAreSubtotals="1" fieldPosition="0">
        <references count="2">
          <reference field="4294967294" count="1" selected="0">
            <x v="1"/>
          </reference>
          <reference field="0" count="1">
            <x v="43"/>
          </reference>
        </references>
      </pivotArea>
    </format>
    <format dxfId="3986">
      <pivotArea collapsedLevelsAreSubtotals="1" fieldPosition="0">
        <references count="3">
          <reference field="4294967294" count="1" selected="0">
            <x v="1"/>
          </reference>
          <reference field="0" count="1" selected="0">
            <x v="43"/>
          </reference>
          <reference field="1" count="2">
            <x v="65"/>
            <x v="66"/>
          </reference>
        </references>
      </pivotArea>
    </format>
    <format dxfId="3987">
      <pivotArea collapsedLevelsAreSubtotals="1" fieldPosition="0">
        <references count="2">
          <reference field="4294967294" count="1" selected="0">
            <x v="1"/>
          </reference>
          <reference field="0" count="1">
            <x v="44"/>
          </reference>
        </references>
      </pivotArea>
    </format>
    <format dxfId="3988">
      <pivotArea collapsedLevelsAreSubtotals="1" fieldPosition="0">
        <references count="3">
          <reference field="4294967294" count="1" selected="0">
            <x v="1"/>
          </reference>
          <reference field="0" count="1" selected="0">
            <x v="44"/>
          </reference>
          <reference field="1" count="1">
            <x v="67"/>
          </reference>
        </references>
      </pivotArea>
    </format>
    <format dxfId="3989">
      <pivotArea collapsedLevelsAreSubtotals="1" fieldPosition="0">
        <references count="2">
          <reference field="4294967294" count="1" selected="0">
            <x v="1"/>
          </reference>
          <reference field="0" count="1">
            <x v="45"/>
          </reference>
        </references>
      </pivotArea>
    </format>
    <format dxfId="3990">
      <pivotArea collapsedLevelsAreSubtotals="1" fieldPosition="0">
        <references count="3">
          <reference field="4294967294" count="1" selected="0">
            <x v="1"/>
          </reference>
          <reference field="0" count="1" selected="0">
            <x v="45"/>
          </reference>
          <reference field="1" count="1">
            <x v="68"/>
          </reference>
        </references>
      </pivotArea>
    </format>
    <format dxfId="3991">
      <pivotArea collapsedLevelsAreSubtotals="1" fieldPosition="0">
        <references count="2">
          <reference field="4294967294" count="1" selected="0">
            <x v="1"/>
          </reference>
          <reference field="0" count="1">
            <x v="46"/>
          </reference>
        </references>
      </pivotArea>
    </format>
    <format dxfId="3992">
      <pivotArea collapsedLevelsAreSubtotals="1" fieldPosition="0">
        <references count="3">
          <reference field="4294967294" count="1" selected="0">
            <x v="1"/>
          </reference>
          <reference field="0" count="1" selected="0">
            <x v="46"/>
          </reference>
          <reference field="1" count="1">
            <x v="69"/>
          </reference>
        </references>
      </pivotArea>
    </format>
    <format dxfId="3993">
      <pivotArea collapsedLevelsAreSubtotals="1" fieldPosition="0">
        <references count="2">
          <reference field="4294967294" count="1" selected="0">
            <x v="1"/>
          </reference>
          <reference field="0" count="1">
            <x v="47"/>
          </reference>
        </references>
      </pivotArea>
    </format>
    <format dxfId="3994">
      <pivotArea collapsedLevelsAreSubtotals="1" fieldPosition="0">
        <references count="3">
          <reference field="4294967294" count="1" selected="0">
            <x v="1"/>
          </reference>
          <reference field="0" count="1" selected="0">
            <x v="47"/>
          </reference>
          <reference field="1" count="1">
            <x v="70"/>
          </reference>
        </references>
      </pivotArea>
    </format>
    <format dxfId="3995">
      <pivotArea collapsedLevelsAreSubtotals="1" fieldPosition="0">
        <references count="2">
          <reference field="4294967294" count="1" selected="0">
            <x v="1"/>
          </reference>
          <reference field="0" count="1">
            <x v="48"/>
          </reference>
        </references>
      </pivotArea>
    </format>
    <format dxfId="3996">
      <pivotArea collapsedLevelsAreSubtotals="1" fieldPosition="0">
        <references count="3">
          <reference field="4294967294" count="1" selected="0">
            <x v="1"/>
          </reference>
          <reference field="0" count="1" selected="0">
            <x v="48"/>
          </reference>
          <reference field="1" count="1">
            <x v="71"/>
          </reference>
        </references>
      </pivotArea>
    </format>
    <format dxfId="3997">
      <pivotArea collapsedLevelsAreSubtotals="1" fieldPosition="0">
        <references count="2">
          <reference field="4294967294" count="1" selected="0">
            <x v="1"/>
          </reference>
          <reference field="0" count="1">
            <x v="49"/>
          </reference>
        </references>
      </pivotArea>
    </format>
    <format dxfId="3998">
      <pivotArea collapsedLevelsAreSubtotals="1" fieldPosition="0">
        <references count="3">
          <reference field="4294967294" count="1" selected="0">
            <x v="1"/>
          </reference>
          <reference field="0" count="1" selected="0">
            <x v="49"/>
          </reference>
          <reference field="1" count="1">
            <x v="72"/>
          </reference>
        </references>
      </pivotArea>
    </format>
    <format dxfId="3999">
      <pivotArea collapsedLevelsAreSubtotals="1" fieldPosition="0">
        <references count="2">
          <reference field="4294967294" count="1" selected="0">
            <x v="1"/>
          </reference>
          <reference field="0" count="1">
            <x v="50"/>
          </reference>
        </references>
      </pivotArea>
    </format>
    <format dxfId="4000">
      <pivotArea collapsedLevelsAreSubtotals="1" fieldPosition="0">
        <references count="3">
          <reference field="4294967294" count="1" selected="0">
            <x v="1"/>
          </reference>
          <reference field="0" count="1" selected="0">
            <x v="50"/>
          </reference>
          <reference field="1" count="1">
            <x v="73"/>
          </reference>
        </references>
      </pivotArea>
    </format>
    <format dxfId="4001">
      <pivotArea collapsedLevelsAreSubtotals="1" fieldPosition="0">
        <references count="2">
          <reference field="4294967294" count="1" selected="0">
            <x v="1"/>
          </reference>
          <reference field="0" count="1">
            <x v="51"/>
          </reference>
        </references>
      </pivotArea>
    </format>
    <format dxfId="4002">
      <pivotArea collapsedLevelsAreSubtotals="1" fieldPosition="0">
        <references count="3">
          <reference field="4294967294" count="1" selected="0">
            <x v="1"/>
          </reference>
          <reference field="0" count="1" selected="0">
            <x v="51"/>
          </reference>
          <reference field="1" count="1">
            <x v="74"/>
          </reference>
        </references>
      </pivotArea>
    </format>
    <format dxfId="4003">
      <pivotArea collapsedLevelsAreSubtotals="1" fieldPosition="0">
        <references count="2">
          <reference field="4294967294" count="1" selected="0">
            <x v="1"/>
          </reference>
          <reference field="0" count="1">
            <x v="52"/>
          </reference>
        </references>
      </pivotArea>
    </format>
    <format dxfId="4004">
      <pivotArea collapsedLevelsAreSubtotals="1" fieldPosition="0">
        <references count="3">
          <reference field="4294967294" count="1" selected="0">
            <x v="1"/>
          </reference>
          <reference field="0" count="1" selected="0">
            <x v="52"/>
          </reference>
          <reference field="1" count="1">
            <x v="75"/>
          </reference>
        </references>
      </pivotArea>
    </format>
    <format dxfId="4005">
      <pivotArea collapsedLevelsAreSubtotals="1" fieldPosition="0">
        <references count="2">
          <reference field="4294967294" count="1" selected="0">
            <x v="1"/>
          </reference>
          <reference field="0" count="1">
            <x v="53"/>
          </reference>
        </references>
      </pivotArea>
    </format>
    <format dxfId="4006">
      <pivotArea collapsedLevelsAreSubtotals="1" fieldPosition="0">
        <references count="3">
          <reference field="4294967294" count="1" selected="0">
            <x v="1"/>
          </reference>
          <reference field="0" count="1" selected="0">
            <x v="53"/>
          </reference>
          <reference field="1" count="1">
            <x v="76"/>
          </reference>
        </references>
      </pivotArea>
    </format>
    <format dxfId="4007">
      <pivotArea collapsedLevelsAreSubtotals="1" fieldPosition="0">
        <references count="2">
          <reference field="4294967294" count="1" selected="0">
            <x v="1"/>
          </reference>
          <reference field="0" count="1">
            <x v="54"/>
          </reference>
        </references>
      </pivotArea>
    </format>
    <format dxfId="4008">
      <pivotArea collapsedLevelsAreSubtotals="1" fieldPosition="0">
        <references count="3">
          <reference field="4294967294" count="1" selected="0">
            <x v="1"/>
          </reference>
          <reference field="0" count="1" selected="0">
            <x v="54"/>
          </reference>
          <reference field="1" count="1">
            <x v="77"/>
          </reference>
        </references>
      </pivotArea>
    </format>
    <format dxfId="4009">
      <pivotArea collapsedLevelsAreSubtotals="1" fieldPosition="0">
        <references count="2">
          <reference field="4294967294" count="1" selected="0">
            <x v="1"/>
          </reference>
          <reference field="0" count="1">
            <x v="55"/>
          </reference>
        </references>
      </pivotArea>
    </format>
    <format dxfId="4010">
      <pivotArea collapsedLevelsAreSubtotals="1" fieldPosition="0">
        <references count="3">
          <reference field="4294967294" count="1" selected="0">
            <x v="1"/>
          </reference>
          <reference field="0" count="1" selected="0">
            <x v="55"/>
          </reference>
          <reference field="1" count="1">
            <x v="8"/>
          </reference>
        </references>
      </pivotArea>
    </format>
    <format dxfId="4011">
      <pivotArea collapsedLevelsAreSubtotals="1" fieldPosition="0">
        <references count="2">
          <reference field="4294967294" count="1" selected="0">
            <x v="1"/>
          </reference>
          <reference field="0" count="1">
            <x v="56"/>
          </reference>
        </references>
      </pivotArea>
    </format>
    <format dxfId="4012">
      <pivotArea collapsedLevelsAreSubtotals="1" fieldPosition="0">
        <references count="3">
          <reference field="4294967294" count="1" selected="0">
            <x v="1"/>
          </reference>
          <reference field="0" count="1" selected="0">
            <x v="56"/>
          </reference>
          <reference field="1" count="1">
            <x v="78"/>
          </reference>
        </references>
      </pivotArea>
    </format>
    <format dxfId="4013">
      <pivotArea collapsedLevelsAreSubtotals="1" fieldPosition="0">
        <references count="2">
          <reference field="4294967294" count="1" selected="0">
            <x v="1"/>
          </reference>
          <reference field="0" count="1">
            <x v="57"/>
          </reference>
        </references>
      </pivotArea>
    </format>
    <format dxfId="4014">
      <pivotArea collapsedLevelsAreSubtotals="1" fieldPosition="0">
        <references count="3">
          <reference field="4294967294" count="1" selected="0">
            <x v="1"/>
          </reference>
          <reference field="0" count="1" selected="0">
            <x v="57"/>
          </reference>
          <reference field="1" count="1">
            <x v="79"/>
          </reference>
        </references>
      </pivotArea>
    </format>
    <format dxfId="4015">
      <pivotArea collapsedLevelsAreSubtotals="1" fieldPosition="0">
        <references count="2">
          <reference field="4294967294" count="1" selected="0">
            <x v="1"/>
          </reference>
          <reference field="0" count="1">
            <x v="58"/>
          </reference>
        </references>
      </pivotArea>
    </format>
    <format dxfId="4016">
      <pivotArea collapsedLevelsAreSubtotals="1" fieldPosition="0">
        <references count="3">
          <reference field="4294967294" count="1" selected="0">
            <x v="1"/>
          </reference>
          <reference field="0" count="1" selected="0">
            <x v="58"/>
          </reference>
          <reference field="1" count="2">
            <x v="80"/>
            <x v="81"/>
          </reference>
        </references>
      </pivotArea>
    </format>
    <format dxfId="4017">
      <pivotArea collapsedLevelsAreSubtotals="1" fieldPosition="0">
        <references count="2">
          <reference field="4294967294" count="1" selected="0">
            <x v="1"/>
          </reference>
          <reference field="0" count="1">
            <x v="59"/>
          </reference>
        </references>
      </pivotArea>
    </format>
    <format dxfId="4018">
      <pivotArea collapsedLevelsAreSubtotals="1" fieldPosition="0">
        <references count="3">
          <reference field="4294967294" count="1" selected="0">
            <x v="1"/>
          </reference>
          <reference field="0" count="1" selected="0">
            <x v="59"/>
          </reference>
          <reference field="1" count="1">
            <x v="82"/>
          </reference>
        </references>
      </pivotArea>
    </format>
    <format dxfId="4019">
      <pivotArea collapsedLevelsAreSubtotals="1" fieldPosition="0">
        <references count="2">
          <reference field="4294967294" count="1" selected="0">
            <x v="1"/>
          </reference>
          <reference field="0" count="1">
            <x v="60"/>
          </reference>
        </references>
      </pivotArea>
    </format>
    <format dxfId="4020">
      <pivotArea collapsedLevelsAreSubtotals="1" fieldPosition="0">
        <references count="3">
          <reference field="4294967294" count="1" selected="0">
            <x v="1"/>
          </reference>
          <reference field="0" count="1" selected="0">
            <x v="60"/>
          </reference>
          <reference field="1" count="1">
            <x v="83"/>
          </reference>
        </references>
      </pivotArea>
    </format>
    <format dxfId="4021">
      <pivotArea collapsedLevelsAreSubtotals="1" fieldPosition="0">
        <references count="2">
          <reference field="4294967294" count="1" selected="0">
            <x v="1"/>
          </reference>
          <reference field="0" count="1">
            <x v="61"/>
          </reference>
        </references>
      </pivotArea>
    </format>
    <format dxfId="4022">
      <pivotArea collapsedLevelsAreSubtotals="1" fieldPosition="0">
        <references count="3">
          <reference field="4294967294" count="1" selected="0">
            <x v="1"/>
          </reference>
          <reference field="0" count="1" selected="0">
            <x v="61"/>
          </reference>
          <reference field="1" count="3">
            <x v="5"/>
            <x v="6"/>
            <x v="7"/>
          </reference>
        </references>
      </pivotArea>
    </format>
    <format dxfId="4023">
      <pivotArea collapsedLevelsAreSubtotals="1" fieldPosition="0">
        <references count="2">
          <reference field="4294967294" count="1" selected="0">
            <x v="1"/>
          </reference>
          <reference field="0" count="1">
            <x v="62"/>
          </reference>
        </references>
      </pivotArea>
    </format>
    <format dxfId="4024">
      <pivotArea collapsedLevelsAreSubtotals="1" fieldPosition="0">
        <references count="3">
          <reference field="4294967294" count="1" selected="0">
            <x v="1"/>
          </reference>
          <reference field="0" count="1" selected="0">
            <x v="62"/>
          </reference>
          <reference field="1" count="2">
            <x v="84"/>
            <x v="85"/>
          </reference>
        </references>
      </pivotArea>
    </format>
    <format dxfId="4025">
      <pivotArea collapsedLevelsAreSubtotals="1" fieldPosition="0">
        <references count="2">
          <reference field="4294967294" count="1" selected="0">
            <x v="1"/>
          </reference>
          <reference field="0" count="1">
            <x v="63"/>
          </reference>
        </references>
      </pivotArea>
    </format>
    <format dxfId="4026">
      <pivotArea collapsedLevelsAreSubtotals="1" fieldPosition="0">
        <references count="3">
          <reference field="4294967294" count="1" selected="0">
            <x v="1"/>
          </reference>
          <reference field="0" count="1" selected="0">
            <x v="63"/>
          </reference>
          <reference field="1" count="1">
            <x v="2"/>
          </reference>
        </references>
      </pivotArea>
    </format>
    <format dxfId="4027">
      <pivotArea collapsedLevelsAreSubtotals="1" fieldPosition="0">
        <references count="2">
          <reference field="4294967294" count="1" selected="0">
            <x v="1"/>
          </reference>
          <reference field="0" count="1">
            <x v="64"/>
          </reference>
        </references>
      </pivotArea>
    </format>
    <format dxfId="4028">
      <pivotArea collapsedLevelsAreSubtotals="1" fieldPosition="0">
        <references count="3">
          <reference field="4294967294" count="1" selected="0">
            <x v="1"/>
          </reference>
          <reference field="0" count="1" selected="0">
            <x v="64"/>
          </reference>
          <reference field="1" count="1">
            <x v="86"/>
          </reference>
        </references>
      </pivotArea>
    </format>
    <format dxfId="4029">
      <pivotArea collapsedLevelsAreSubtotals="1" fieldPosition="0">
        <references count="2">
          <reference field="4294967294" count="1" selected="0">
            <x v="1"/>
          </reference>
          <reference field="0" count="1">
            <x v="65"/>
          </reference>
        </references>
      </pivotArea>
    </format>
    <format dxfId="4030">
      <pivotArea collapsedLevelsAreSubtotals="1" fieldPosition="0">
        <references count="3">
          <reference field="4294967294" count="1" selected="0">
            <x v="1"/>
          </reference>
          <reference field="0" count="1" selected="0">
            <x v="65"/>
          </reference>
          <reference field="1" count="1">
            <x v="87"/>
          </reference>
        </references>
      </pivotArea>
    </format>
    <format dxfId="4031">
      <pivotArea collapsedLevelsAreSubtotals="1" fieldPosition="0">
        <references count="2">
          <reference field="4294967294" count="1" selected="0">
            <x v="1"/>
          </reference>
          <reference field="0" count="1">
            <x v="66"/>
          </reference>
        </references>
      </pivotArea>
    </format>
    <format dxfId="4032">
      <pivotArea collapsedLevelsAreSubtotals="1" fieldPosition="0">
        <references count="3">
          <reference field="4294967294" count="1" selected="0">
            <x v="1"/>
          </reference>
          <reference field="0" count="1" selected="0">
            <x v="66"/>
          </reference>
          <reference field="1" count="1">
            <x v="88"/>
          </reference>
        </references>
      </pivotArea>
    </format>
    <format dxfId="4033">
      <pivotArea collapsedLevelsAreSubtotals="1" fieldPosition="0">
        <references count="2">
          <reference field="4294967294" count="1" selected="0">
            <x v="1"/>
          </reference>
          <reference field="0" count="1">
            <x v="67"/>
          </reference>
        </references>
      </pivotArea>
    </format>
    <format dxfId="4034">
      <pivotArea collapsedLevelsAreSubtotals="1" fieldPosition="0">
        <references count="3">
          <reference field="4294967294" count="1" selected="0">
            <x v="1"/>
          </reference>
          <reference field="0" count="1" selected="0">
            <x v="67"/>
          </reference>
          <reference field="1" count="1">
            <x v="89"/>
          </reference>
        </references>
      </pivotArea>
    </format>
    <format dxfId="4035">
      <pivotArea collapsedLevelsAreSubtotals="1" fieldPosition="0">
        <references count="2">
          <reference field="4294967294" count="1" selected="0">
            <x v="1"/>
          </reference>
          <reference field="0" count="1">
            <x v="68"/>
          </reference>
        </references>
      </pivotArea>
    </format>
    <format dxfId="4036">
      <pivotArea collapsedLevelsAreSubtotals="1" fieldPosition="0">
        <references count="3">
          <reference field="4294967294" count="1" selected="0">
            <x v="1"/>
          </reference>
          <reference field="0" count="1" selected="0">
            <x v="68"/>
          </reference>
          <reference field="1" count="2">
            <x v="90"/>
            <x v="91"/>
          </reference>
        </references>
      </pivotArea>
    </format>
    <format dxfId="4037">
      <pivotArea collapsedLevelsAreSubtotals="1" fieldPosition="0">
        <references count="2">
          <reference field="4294967294" count="1" selected="0">
            <x v="1"/>
          </reference>
          <reference field="0" count="1">
            <x v="69"/>
          </reference>
        </references>
      </pivotArea>
    </format>
    <format dxfId="4038">
      <pivotArea collapsedLevelsAreSubtotals="1" fieldPosition="0">
        <references count="3">
          <reference field="4294967294" count="1" selected="0">
            <x v="1"/>
          </reference>
          <reference field="0" count="1" selected="0">
            <x v="69"/>
          </reference>
          <reference field="1" count="1">
            <x v="11"/>
          </reference>
        </references>
      </pivotArea>
    </format>
    <format dxfId="4039">
      <pivotArea collapsedLevelsAreSubtotals="1" fieldPosition="0">
        <references count="2">
          <reference field="4294967294" count="1" selected="0">
            <x v="1"/>
          </reference>
          <reference field="0" count="1">
            <x v="70"/>
          </reference>
        </references>
      </pivotArea>
    </format>
    <format dxfId="4040">
      <pivotArea collapsedLevelsAreSubtotals="1" fieldPosition="0">
        <references count="3">
          <reference field="4294967294" count="1" selected="0">
            <x v="1"/>
          </reference>
          <reference field="0" count="1" selected="0">
            <x v="70"/>
          </reference>
          <reference field="1" count="2">
            <x v="92"/>
            <x v="93"/>
          </reference>
        </references>
      </pivotArea>
    </format>
    <format dxfId="4041">
      <pivotArea collapsedLevelsAreSubtotals="1" fieldPosition="0">
        <references count="2">
          <reference field="4294967294" count="1" selected="0">
            <x v="1"/>
          </reference>
          <reference field="0" count="1">
            <x v="71"/>
          </reference>
        </references>
      </pivotArea>
    </format>
    <format dxfId="4042">
      <pivotArea collapsedLevelsAreSubtotals="1" fieldPosition="0">
        <references count="3">
          <reference field="4294967294" count="1" selected="0">
            <x v="1"/>
          </reference>
          <reference field="0" count="1" selected="0">
            <x v="71"/>
          </reference>
          <reference field="1" count="1">
            <x v="94"/>
          </reference>
        </references>
      </pivotArea>
    </format>
    <format dxfId="4043">
      <pivotArea collapsedLevelsAreSubtotals="1" fieldPosition="0">
        <references count="2">
          <reference field="4294967294" count="1" selected="0">
            <x v="1"/>
          </reference>
          <reference field="0" count="1">
            <x v="72"/>
          </reference>
        </references>
      </pivotArea>
    </format>
    <format dxfId="4044">
      <pivotArea collapsedLevelsAreSubtotals="1" fieldPosition="0">
        <references count="3">
          <reference field="4294967294" count="1" selected="0">
            <x v="1"/>
          </reference>
          <reference field="0" count="1" selected="0">
            <x v="72"/>
          </reference>
          <reference field="1" count="1">
            <x v="95"/>
          </reference>
        </references>
      </pivotArea>
    </format>
    <format dxfId="4045">
      <pivotArea collapsedLevelsAreSubtotals="1" fieldPosition="0">
        <references count="2">
          <reference field="4294967294" count="1" selected="0">
            <x v="1"/>
          </reference>
          <reference field="0" count="1">
            <x v="73"/>
          </reference>
        </references>
      </pivotArea>
    </format>
    <format dxfId="4046">
      <pivotArea collapsedLevelsAreSubtotals="1" fieldPosition="0">
        <references count="3">
          <reference field="4294967294" count="1" selected="0">
            <x v="1"/>
          </reference>
          <reference field="0" count="1" selected="0">
            <x v="73"/>
          </reference>
          <reference field="1" count="2">
            <x v="96"/>
            <x v="97"/>
          </reference>
        </references>
      </pivotArea>
    </format>
    <format dxfId="4047">
      <pivotArea collapsedLevelsAreSubtotals="1" fieldPosition="0">
        <references count="2">
          <reference field="4294967294" count="1" selected="0">
            <x v="1"/>
          </reference>
          <reference field="0" count="1">
            <x v="74"/>
          </reference>
        </references>
      </pivotArea>
    </format>
    <format dxfId="4048">
      <pivotArea collapsedLevelsAreSubtotals="1" fieldPosition="0">
        <references count="3">
          <reference field="4294967294" count="1" selected="0">
            <x v="1"/>
          </reference>
          <reference field="0" count="1" selected="0">
            <x v="74"/>
          </reference>
          <reference field="1" count="1">
            <x v="98"/>
          </reference>
        </references>
      </pivotArea>
    </format>
    <format dxfId="4049">
      <pivotArea collapsedLevelsAreSubtotals="1" fieldPosition="0">
        <references count="2">
          <reference field="4294967294" count="1" selected="0">
            <x v="1"/>
          </reference>
          <reference field="0" count="1">
            <x v="75"/>
          </reference>
        </references>
      </pivotArea>
    </format>
    <format dxfId="4050">
      <pivotArea collapsedLevelsAreSubtotals="1" fieldPosition="0">
        <references count="3">
          <reference field="4294967294" count="1" selected="0">
            <x v="1"/>
          </reference>
          <reference field="0" count="1" selected="0">
            <x v="75"/>
          </reference>
          <reference field="1" count="1">
            <x v="3"/>
          </reference>
        </references>
      </pivotArea>
    </format>
    <format dxfId="4051">
      <pivotArea collapsedLevelsAreSubtotals="1" fieldPosition="0">
        <references count="2">
          <reference field="4294967294" count="1" selected="0">
            <x v="1"/>
          </reference>
          <reference field="0" count="1">
            <x v="76"/>
          </reference>
        </references>
      </pivotArea>
    </format>
    <format dxfId="4052">
      <pivotArea collapsedLevelsAreSubtotals="1" fieldPosition="0">
        <references count="3">
          <reference field="4294967294" count="1" selected="0">
            <x v="1"/>
          </reference>
          <reference field="0" count="1" selected="0">
            <x v="76"/>
          </reference>
          <reference field="1" count="1">
            <x v="99"/>
          </reference>
        </references>
      </pivotArea>
    </format>
    <format dxfId="4053">
      <pivotArea collapsedLevelsAreSubtotals="1" fieldPosition="0">
        <references count="2">
          <reference field="4294967294" count="1" selected="0">
            <x v="1"/>
          </reference>
          <reference field="0" count="1">
            <x v="77"/>
          </reference>
        </references>
      </pivotArea>
    </format>
    <format dxfId="4054">
      <pivotArea collapsedLevelsAreSubtotals="1" fieldPosition="0">
        <references count="3">
          <reference field="4294967294" count="1" selected="0">
            <x v="1"/>
          </reference>
          <reference field="0" count="1" selected="0">
            <x v="77"/>
          </reference>
          <reference field="1" count="2">
            <x v="100"/>
            <x v="101"/>
          </reference>
        </references>
      </pivotArea>
    </format>
    <format dxfId="4055">
      <pivotArea collapsedLevelsAreSubtotals="1" fieldPosition="0">
        <references count="2">
          <reference field="4294967294" count="1" selected="0">
            <x v="1"/>
          </reference>
          <reference field="0" count="1">
            <x v="78"/>
          </reference>
        </references>
      </pivotArea>
    </format>
    <format dxfId="4056">
      <pivotArea collapsedLevelsAreSubtotals="1" fieldPosition="0">
        <references count="3">
          <reference field="4294967294" count="1" selected="0">
            <x v="1"/>
          </reference>
          <reference field="0" count="1" selected="0">
            <x v="78"/>
          </reference>
          <reference field="1" count="1">
            <x v="102"/>
          </reference>
        </references>
      </pivotArea>
    </format>
    <format dxfId="4057">
      <pivotArea collapsedLevelsAreSubtotals="1" fieldPosition="0">
        <references count="2">
          <reference field="4294967294" count="1" selected="0">
            <x v="1"/>
          </reference>
          <reference field="0" count="1">
            <x v="79"/>
          </reference>
        </references>
      </pivotArea>
    </format>
    <format dxfId="4058">
      <pivotArea collapsedLevelsAreSubtotals="1" fieldPosition="0">
        <references count="3">
          <reference field="4294967294" count="1" selected="0">
            <x v="1"/>
          </reference>
          <reference field="0" count="1" selected="0">
            <x v="79"/>
          </reference>
          <reference field="1" count="1">
            <x v="103"/>
          </reference>
        </references>
      </pivotArea>
    </format>
    <format dxfId="4059">
      <pivotArea collapsedLevelsAreSubtotals="1" fieldPosition="0">
        <references count="2">
          <reference field="4294967294" count="1" selected="0">
            <x v="1"/>
          </reference>
          <reference field="0" count="1">
            <x v="80"/>
          </reference>
        </references>
      </pivotArea>
    </format>
    <format dxfId="4060">
      <pivotArea collapsedLevelsAreSubtotals="1" fieldPosition="0">
        <references count="3">
          <reference field="4294967294" count="1" selected="0">
            <x v="1"/>
          </reference>
          <reference field="0" count="1" selected="0">
            <x v="80"/>
          </reference>
          <reference field="1" count="1">
            <x v="104"/>
          </reference>
        </references>
      </pivotArea>
    </format>
    <format dxfId="4061">
      <pivotArea outline="0" collapsedLevelsAreSubtotals="1" fieldPosition="0"/>
    </format>
    <format dxfId="406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063">
      <pivotArea dataOnly="0" labelOnly="1" fieldPosition="0">
        <references count="1">
          <reference field="0" count="31">
            <x v="50"/>
            <x v="51"/>
            <x v="52"/>
            <x v="53"/>
            <x v="54"/>
            <x v="55"/>
            <x v="56"/>
            <x v="57"/>
            <x v="58"/>
            <x v="59"/>
            <x v="60"/>
            <x v="61"/>
            <x v="62"/>
            <x v="63"/>
            <x v="64"/>
            <x v="65"/>
            <x v="66"/>
            <x v="67"/>
            <x v="68"/>
            <x v="69"/>
            <x v="70"/>
            <x v="71"/>
            <x v="72"/>
            <x v="73"/>
            <x v="74"/>
            <x v="75"/>
            <x v="76"/>
            <x v="77"/>
            <x v="78"/>
            <x v="79"/>
            <x v="80"/>
          </reference>
        </references>
      </pivotArea>
    </format>
    <format dxfId="4064">
      <pivotArea dataOnly="0" labelOnly="1" grandRow="1" outline="0" fieldPosition="0"/>
    </format>
    <format dxfId="4065">
      <pivotArea dataOnly="0" labelOnly="1" fieldPosition="0">
        <references count="2">
          <reference field="0" count="1" selected="0">
            <x v="0"/>
          </reference>
          <reference field="1" count="4">
            <x v="12"/>
            <x v="13"/>
            <x v="14"/>
            <x v="15"/>
          </reference>
        </references>
      </pivotArea>
    </format>
    <format dxfId="4066">
      <pivotArea dataOnly="0" labelOnly="1" fieldPosition="0">
        <references count="2">
          <reference field="0" count="1" selected="0">
            <x v="1"/>
          </reference>
          <reference field="1" count="2">
            <x v="16"/>
            <x v="17"/>
          </reference>
        </references>
      </pivotArea>
    </format>
    <format dxfId="4067">
      <pivotArea dataOnly="0" labelOnly="1" fieldPosition="0">
        <references count="2">
          <reference field="0" count="1" selected="0">
            <x v="2"/>
          </reference>
          <reference field="1" count="1">
            <x v="18"/>
          </reference>
        </references>
      </pivotArea>
    </format>
    <format dxfId="4068">
      <pivotArea dataOnly="0" labelOnly="1" fieldPosition="0">
        <references count="2">
          <reference field="0" count="1" selected="0">
            <x v="3"/>
          </reference>
          <reference field="1" count="1">
            <x v="19"/>
          </reference>
        </references>
      </pivotArea>
    </format>
    <format dxfId="4069">
      <pivotArea dataOnly="0" labelOnly="1" fieldPosition="0">
        <references count="2">
          <reference field="0" count="1" selected="0">
            <x v="4"/>
          </reference>
          <reference field="1" count="1">
            <x v="20"/>
          </reference>
        </references>
      </pivotArea>
    </format>
    <format dxfId="4070">
      <pivotArea dataOnly="0" labelOnly="1" fieldPosition="0">
        <references count="2">
          <reference field="0" count="1" selected="0">
            <x v="5"/>
          </reference>
          <reference field="1" count="1">
            <x v="21"/>
          </reference>
        </references>
      </pivotArea>
    </format>
    <format dxfId="4071">
      <pivotArea dataOnly="0" labelOnly="1" fieldPosition="0">
        <references count="2">
          <reference field="0" count="1" selected="0">
            <x v="6"/>
          </reference>
          <reference field="1" count="1">
            <x v="22"/>
          </reference>
        </references>
      </pivotArea>
    </format>
    <format dxfId="4072">
      <pivotArea dataOnly="0" labelOnly="1" fieldPosition="0">
        <references count="2">
          <reference field="0" count="1" selected="0">
            <x v="7"/>
          </reference>
          <reference field="1" count="1">
            <x v="23"/>
          </reference>
        </references>
      </pivotArea>
    </format>
    <format dxfId="4073">
      <pivotArea dataOnly="0" labelOnly="1" fieldPosition="0">
        <references count="2">
          <reference field="0" count="1" selected="0">
            <x v="8"/>
          </reference>
          <reference field="1" count="1">
            <x v="24"/>
          </reference>
        </references>
      </pivotArea>
    </format>
    <format dxfId="4074">
      <pivotArea dataOnly="0" labelOnly="1" fieldPosition="0">
        <references count="2">
          <reference field="0" count="1" selected="0">
            <x v="9"/>
          </reference>
          <reference field="1" count="2">
            <x v="25"/>
            <x v="26"/>
          </reference>
        </references>
      </pivotArea>
    </format>
    <format dxfId="4075">
      <pivotArea dataOnly="0" labelOnly="1" fieldPosition="0">
        <references count="2">
          <reference field="0" count="1" selected="0">
            <x v="10"/>
          </reference>
          <reference field="1" count="1">
            <x v="27"/>
          </reference>
        </references>
      </pivotArea>
    </format>
    <format dxfId="4076">
      <pivotArea dataOnly="0" labelOnly="1" fieldPosition="0">
        <references count="2">
          <reference field="0" count="1" selected="0">
            <x v="11"/>
          </reference>
          <reference field="1" count="1">
            <x v="28"/>
          </reference>
        </references>
      </pivotArea>
    </format>
    <format dxfId="4077">
      <pivotArea dataOnly="0" labelOnly="1" fieldPosition="0">
        <references count="2">
          <reference field="0" count="1" selected="0">
            <x v="12"/>
          </reference>
          <reference field="1" count="1">
            <x v="29"/>
          </reference>
        </references>
      </pivotArea>
    </format>
    <format dxfId="4078">
      <pivotArea dataOnly="0" labelOnly="1" fieldPosition="0">
        <references count="2">
          <reference field="0" count="1" selected="0">
            <x v="13"/>
          </reference>
          <reference field="1" count="1">
            <x v="30"/>
          </reference>
        </references>
      </pivotArea>
    </format>
    <format dxfId="4079">
      <pivotArea dataOnly="0" labelOnly="1" fieldPosition="0">
        <references count="2">
          <reference field="0" count="1" selected="0">
            <x v="14"/>
          </reference>
          <reference field="1" count="2">
            <x v="31"/>
            <x v="32"/>
          </reference>
        </references>
      </pivotArea>
    </format>
    <format dxfId="4080">
      <pivotArea dataOnly="0" labelOnly="1" fieldPosition="0">
        <references count="2">
          <reference field="0" count="1" selected="0">
            <x v="15"/>
          </reference>
          <reference field="1" count="1">
            <x v="33"/>
          </reference>
        </references>
      </pivotArea>
    </format>
    <format dxfId="4081">
      <pivotArea dataOnly="0" labelOnly="1" fieldPosition="0">
        <references count="2">
          <reference field="0" count="1" selected="0">
            <x v="16"/>
          </reference>
          <reference field="1" count="1">
            <x v="34"/>
          </reference>
        </references>
      </pivotArea>
    </format>
    <format dxfId="4082">
      <pivotArea dataOnly="0" labelOnly="1" fieldPosition="0">
        <references count="2">
          <reference field="0" count="1" selected="0">
            <x v="17"/>
          </reference>
          <reference field="1" count="1">
            <x v="35"/>
          </reference>
        </references>
      </pivotArea>
    </format>
    <format dxfId="4083">
      <pivotArea dataOnly="0" labelOnly="1" fieldPosition="0">
        <references count="2">
          <reference field="0" count="1" selected="0">
            <x v="18"/>
          </reference>
          <reference field="1" count="1">
            <x v="36"/>
          </reference>
        </references>
      </pivotArea>
    </format>
    <format dxfId="4084">
      <pivotArea dataOnly="0" labelOnly="1" fieldPosition="0">
        <references count="2">
          <reference field="0" count="1" selected="0">
            <x v="19"/>
          </reference>
          <reference field="1" count="1">
            <x v="37"/>
          </reference>
        </references>
      </pivotArea>
    </format>
    <format dxfId="4085">
      <pivotArea dataOnly="0" labelOnly="1" fieldPosition="0">
        <references count="2">
          <reference field="0" count="1" selected="0">
            <x v="20"/>
          </reference>
          <reference field="1" count="1">
            <x v="38"/>
          </reference>
        </references>
      </pivotArea>
    </format>
    <format dxfId="4086">
      <pivotArea dataOnly="0" labelOnly="1" fieldPosition="0">
        <references count="2">
          <reference field="0" count="1" selected="0">
            <x v="21"/>
          </reference>
          <reference field="1" count="1">
            <x v="39"/>
          </reference>
        </references>
      </pivotArea>
    </format>
    <format dxfId="4087">
      <pivotArea dataOnly="0" labelOnly="1" fieldPosition="0">
        <references count="2">
          <reference field="0" count="1" selected="0">
            <x v="22"/>
          </reference>
          <reference field="1" count="1">
            <x v="40"/>
          </reference>
        </references>
      </pivotArea>
    </format>
    <format dxfId="4088">
      <pivotArea dataOnly="0" labelOnly="1" fieldPosition="0">
        <references count="2">
          <reference field="0" count="1" selected="0">
            <x v="23"/>
          </reference>
          <reference field="1" count="3">
            <x v="41"/>
            <x v="42"/>
            <x v="43"/>
          </reference>
        </references>
      </pivotArea>
    </format>
    <format dxfId="4089">
      <pivotArea dataOnly="0" labelOnly="1" fieldPosition="0">
        <references count="2">
          <reference field="0" count="1" selected="0">
            <x v="24"/>
          </reference>
          <reference field="1" count="3">
            <x v="44"/>
            <x v="45"/>
            <x v="46"/>
          </reference>
        </references>
      </pivotArea>
    </format>
    <format dxfId="4090">
      <pivotArea dataOnly="0" labelOnly="1" fieldPosition="0">
        <references count="2">
          <reference field="0" count="1" selected="0">
            <x v="25"/>
          </reference>
          <reference field="1" count="2">
            <x v="47"/>
            <x v="48"/>
          </reference>
        </references>
      </pivotArea>
    </format>
    <format dxfId="4091">
      <pivotArea dataOnly="0" labelOnly="1" fieldPosition="0">
        <references count="2">
          <reference field="0" count="1" selected="0">
            <x v="26"/>
          </reference>
          <reference field="1" count="2">
            <x v="49"/>
            <x v="50"/>
          </reference>
        </references>
      </pivotArea>
    </format>
    <format dxfId="4092">
      <pivotArea dataOnly="0" labelOnly="1" fieldPosition="0">
        <references count="2">
          <reference field="0" count="1" selected="0">
            <x v="27"/>
          </reference>
          <reference field="1" count="1">
            <x v="51"/>
          </reference>
        </references>
      </pivotArea>
    </format>
    <format dxfId="4093">
      <pivotArea dataOnly="0" labelOnly="1" fieldPosition="0">
        <references count="2">
          <reference field="0" count="1" selected="0">
            <x v="28"/>
          </reference>
          <reference field="1" count="1">
            <x v="52"/>
          </reference>
        </references>
      </pivotArea>
    </format>
    <format dxfId="4094">
      <pivotArea dataOnly="0" labelOnly="1" fieldPosition="0">
        <references count="2">
          <reference field="0" count="1" selected="0">
            <x v="29"/>
          </reference>
          <reference field="1" count="1">
            <x v="53"/>
          </reference>
        </references>
      </pivotArea>
    </format>
    <format dxfId="4095">
      <pivotArea dataOnly="0" labelOnly="1" fieldPosition="0">
        <references count="2">
          <reference field="0" count="1" selected="0">
            <x v="30"/>
          </reference>
          <reference field="1" count="1">
            <x v="54"/>
          </reference>
        </references>
      </pivotArea>
    </format>
    <format dxfId="4096">
      <pivotArea dataOnly="0" labelOnly="1" fieldPosition="0">
        <references count="2">
          <reference field="0" count="1" selected="0">
            <x v="31"/>
          </reference>
          <reference field="1" count="1">
            <x v="55"/>
          </reference>
        </references>
      </pivotArea>
    </format>
    <format dxfId="4097">
      <pivotArea dataOnly="0" labelOnly="1" fieldPosition="0">
        <references count="2">
          <reference field="0" count="1" selected="0">
            <x v="32"/>
          </reference>
          <reference field="1" count="1">
            <x v="56"/>
          </reference>
        </references>
      </pivotArea>
    </format>
    <format dxfId="4098">
      <pivotArea dataOnly="0" labelOnly="1" fieldPosition="0">
        <references count="2">
          <reference field="0" count="1" selected="0">
            <x v="33"/>
          </reference>
          <reference field="1" count="1">
            <x v="57"/>
          </reference>
        </references>
      </pivotArea>
    </format>
    <format dxfId="4099">
      <pivotArea dataOnly="0" labelOnly="1" fieldPosition="0">
        <references count="2">
          <reference field="0" count="1" selected="0">
            <x v="34"/>
          </reference>
          <reference field="1" count="1">
            <x v="9"/>
          </reference>
        </references>
      </pivotArea>
    </format>
    <format dxfId="4100">
      <pivotArea dataOnly="0" labelOnly="1" fieldPosition="0">
        <references count="2">
          <reference field="0" count="1" selected="0">
            <x v="35"/>
          </reference>
          <reference field="1" count="1">
            <x v="58"/>
          </reference>
        </references>
      </pivotArea>
    </format>
    <format dxfId="4101">
      <pivotArea dataOnly="0" labelOnly="1" fieldPosition="0">
        <references count="2">
          <reference field="0" count="1" selected="0">
            <x v="36"/>
          </reference>
          <reference field="1" count="2">
            <x v="59"/>
            <x v="60"/>
          </reference>
        </references>
      </pivotArea>
    </format>
    <format dxfId="4102">
      <pivotArea dataOnly="0" labelOnly="1" fieldPosition="0">
        <references count="2">
          <reference field="0" count="1" selected="0">
            <x v="37"/>
          </reference>
          <reference field="1" count="2">
            <x v="0"/>
            <x v="1"/>
          </reference>
        </references>
      </pivotArea>
    </format>
    <format dxfId="4103">
      <pivotArea dataOnly="0" labelOnly="1" fieldPosition="0">
        <references count="2">
          <reference field="0" count="1" selected="0">
            <x v="38"/>
          </reference>
          <reference field="1" count="2">
            <x v="61"/>
            <x v="62"/>
          </reference>
        </references>
      </pivotArea>
    </format>
    <format dxfId="4104">
      <pivotArea dataOnly="0" labelOnly="1" fieldPosition="0">
        <references count="2">
          <reference field="0" count="1" selected="0">
            <x v="39"/>
          </reference>
          <reference field="1" count="1">
            <x v="10"/>
          </reference>
        </references>
      </pivotArea>
    </format>
    <format dxfId="4105">
      <pivotArea dataOnly="0" labelOnly="1" fieldPosition="0">
        <references count="2">
          <reference field="0" count="1" selected="0">
            <x v="40"/>
          </reference>
          <reference field="1" count="1">
            <x v="63"/>
          </reference>
        </references>
      </pivotArea>
    </format>
    <format dxfId="4106">
      <pivotArea dataOnly="0" labelOnly="1" fieldPosition="0">
        <references count="2">
          <reference field="0" count="1" selected="0">
            <x v="41"/>
          </reference>
          <reference field="1" count="1">
            <x v="64"/>
          </reference>
        </references>
      </pivotArea>
    </format>
    <format dxfId="4107">
      <pivotArea dataOnly="0" labelOnly="1" fieldPosition="0">
        <references count="2">
          <reference field="0" count="1" selected="0">
            <x v="42"/>
          </reference>
          <reference field="1" count="1">
            <x v="4"/>
          </reference>
        </references>
      </pivotArea>
    </format>
    <format dxfId="4108">
      <pivotArea dataOnly="0" labelOnly="1" fieldPosition="0">
        <references count="2">
          <reference field="0" count="1" selected="0">
            <x v="43"/>
          </reference>
          <reference field="1" count="2">
            <x v="65"/>
            <x v="66"/>
          </reference>
        </references>
      </pivotArea>
    </format>
    <format dxfId="4109">
      <pivotArea dataOnly="0" labelOnly="1" fieldPosition="0">
        <references count="2">
          <reference field="0" count="1" selected="0">
            <x v="44"/>
          </reference>
          <reference field="1" count="1">
            <x v="67"/>
          </reference>
        </references>
      </pivotArea>
    </format>
    <format dxfId="4110">
      <pivotArea dataOnly="0" labelOnly="1" fieldPosition="0">
        <references count="2">
          <reference field="0" count="1" selected="0">
            <x v="45"/>
          </reference>
          <reference field="1" count="1">
            <x v="68"/>
          </reference>
        </references>
      </pivotArea>
    </format>
    <format dxfId="4111">
      <pivotArea dataOnly="0" labelOnly="1" fieldPosition="0">
        <references count="2">
          <reference field="0" count="1" selected="0">
            <x v="46"/>
          </reference>
          <reference field="1" count="1">
            <x v="69"/>
          </reference>
        </references>
      </pivotArea>
    </format>
    <format dxfId="4112">
      <pivotArea dataOnly="0" labelOnly="1" fieldPosition="0">
        <references count="2">
          <reference field="0" count="1" selected="0">
            <x v="47"/>
          </reference>
          <reference field="1" count="1">
            <x v="70"/>
          </reference>
        </references>
      </pivotArea>
    </format>
    <format dxfId="4113">
      <pivotArea dataOnly="0" labelOnly="1" fieldPosition="0">
        <references count="2">
          <reference field="0" count="1" selected="0">
            <x v="48"/>
          </reference>
          <reference field="1" count="1">
            <x v="71"/>
          </reference>
        </references>
      </pivotArea>
    </format>
    <format dxfId="4114">
      <pivotArea dataOnly="0" labelOnly="1" fieldPosition="0">
        <references count="2">
          <reference field="0" count="1" selected="0">
            <x v="49"/>
          </reference>
          <reference field="1" count="1">
            <x v="72"/>
          </reference>
        </references>
      </pivotArea>
    </format>
    <format dxfId="4115">
      <pivotArea dataOnly="0" labelOnly="1" fieldPosition="0">
        <references count="2">
          <reference field="0" count="1" selected="0">
            <x v="50"/>
          </reference>
          <reference field="1" count="1">
            <x v="73"/>
          </reference>
        </references>
      </pivotArea>
    </format>
    <format dxfId="4116">
      <pivotArea dataOnly="0" labelOnly="1" fieldPosition="0">
        <references count="2">
          <reference field="0" count="1" selected="0">
            <x v="51"/>
          </reference>
          <reference field="1" count="1">
            <x v="74"/>
          </reference>
        </references>
      </pivotArea>
    </format>
    <format dxfId="4117">
      <pivotArea dataOnly="0" labelOnly="1" fieldPosition="0">
        <references count="2">
          <reference field="0" count="1" selected="0">
            <x v="52"/>
          </reference>
          <reference field="1" count="1">
            <x v="75"/>
          </reference>
        </references>
      </pivotArea>
    </format>
    <format dxfId="4118">
      <pivotArea dataOnly="0" labelOnly="1" fieldPosition="0">
        <references count="2">
          <reference field="0" count="1" selected="0">
            <x v="53"/>
          </reference>
          <reference field="1" count="1">
            <x v="76"/>
          </reference>
        </references>
      </pivotArea>
    </format>
    <format dxfId="4119">
      <pivotArea dataOnly="0" labelOnly="1" fieldPosition="0">
        <references count="2">
          <reference field="0" count="1" selected="0">
            <x v="54"/>
          </reference>
          <reference field="1" count="1">
            <x v="77"/>
          </reference>
        </references>
      </pivotArea>
    </format>
    <format dxfId="4120">
      <pivotArea dataOnly="0" labelOnly="1" fieldPosition="0">
        <references count="2">
          <reference field="0" count="1" selected="0">
            <x v="55"/>
          </reference>
          <reference field="1" count="1">
            <x v="8"/>
          </reference>
        </references>
      </pivotArea>
    </format>
    <format dxfId="4121">
      <pivotArea dataOnly="0" labelOnly="1" fieldPosition="0">
        <references count="2">
          <reference field="0" count="1" selected="0">
            <x v="56"/>
          </reference>
          <reference field="1" count="1">
            <x v="78"/>
          </reference>
        </references>
      </pivotArea>
    </format>
    <format dxfId="4122">
      <pivotArea dataOnly="0" labelOnly="1" fieldPosition="0">
        <references count="2">
          <reference field="0" count="1" selected="0">
            <x v="57"/>
          </reference>
          <reference field="1" count="1">
            <x v="79"/>
          </reference>
        </references>
      </pivotArea>
    </format>
    <format dxfId="4123">
      <pivotArea dataOnly="0" labelOnly="1" fieldPosition="0">
        <references count="2">
          <reference field="0" count="1" selected="0">
            <x v="58"/>
          </reference>
          <reference field="1" count="2">
            <x v="80"/>
            <x v="81"/>
          </reference>
        </references>
      </pivotArea>
    </format>
    <format dxfId="4124">
      <pivotArea dataOnly="0" labelOnly="1" fieldPosition="0">
        <references count="2">
          <reference field="0" count="1" selected="0">
            <x v="59"/>
          </reference>
          <reference field="1" count="1">
            <x v="82"/>
          </reference>
        </references>
      </pivotArea>
    </format>
    <format dxfId="4125">
      <pivotArea dataOnly="0" labelOnly="1" fieldPosition="0">
        <references count="2">
          <reference field="0" count="1" selected="0">
            <x v="60"/>
          </reference>
          <reference field="1" count="1">
            <x v="83"/>
          </reference>
        </references>
      </pivotArea>
    </format>
    <format dxfId="4126">
      <pivotArea dataOnly="0" labelOnly="1" fieldPosition="0">
        <references count="2">
          <reference field="0" count="1" selected="0">
            <x v="61"/>
          </reference>
          <reference field="1" count="3">
            <x v="5"/>
            <x v="6"/>
            <x v="7"/>
          </reference>
        </references>
      </pivotArea>
    </format>
    <format dxfId="4127">
      <pivotArea dataOnly="0" labelOnly="1" fieldPosition="0">
        <references count="2">
          <reference field="0" count="1" selected="0">
            <x v="62"/>
          </reference>
          <reference field="1" count="2">
            <x v="84"/>
            <x v="85"/>
          </reference>
        </references>
      </pivotArea>
    </format>
    <format dxfId="4128">
      <pivotArea dataOnly="0" labelOnly="1" fieldPosition="0">
        <references count="2">
          <reference field="0" count="1" selected="0">
            <x v="63"/>
          </reference>
          <reference field="1" count="1">
            <x v="2"/>
          </reference>
        </references>
      </pivotArea>
    </format>
    <format dxfId="4129">
      <pivotArea dataOnly="0" labelOnly="1" fieldPosition="0">
        <references count="2">
          <reference field="0" count="1" selected="0">
            <x v="64"/>
          </reference>
          <reference field="1" count="1">
            <x v="86"/>
          </reference>
        </references>
      </pivotArea>
    </format>
    <format dxfId="4130">
      <pivotArea dataOnly="0" labelOnly="1" fieldPosition="0">
        <references count="2">
          <reference field="0" count="1" selected="0">
            <x v="65"/>
          </reference>
          <reference field="1" count="1">
            <x v="87"/>
          </reference>
        </references>
      </pivotArea>
    </format>
    <format dxfId="4131">
      <pivotArea dataOnly="0" labelOnly="1" fieldPosition="0">
        <references count="2">
          <reference field="0" count="1" selected="0">
            <x v="66"/>
          </reference>
          <reference field="1" count="1">
            <x v="88"/>
          </reference>
        </references>
      </pivotArea>
    </format>
    <format dxfId="4132">
      <pivotArea dataOnly="0" labelOnly="1" fieldPosition="0">
        <references count="2">
          <reference field="0" count="1" selected="0">
            <x v="67"/>
          </reference>
          <reference field="1" count="1">
            <x v="89"/>
          </reference>
        </references>
      </pivotArea>
    </format>
    <format dxfId="4133">
      <pivotArea dataOnly="0" labelOnly="1" fieldPosition="0">
        <references count="2">
          <reference field="0" count="1" selected="0">
            <x v="68"/>
          </reference>
          <reference field="1" count="2">
            <x v="90"/>
            <x v="91"/>
          </reference>
        </references>
      </pivotArea>
    </format>
    <format dxfId="4134">
      <pivotArea dataOnly="0" labelOnly="1" fieldPosition="0">
        <references count="2">
          <reference field="0" count="1" selected="0">
            <x v="69"/>
          </reference>
          <reference field="1" count="1">
            <x v="11"/>
          </reference>
        </references>
      </pivotArea>
    </format>
    <format dxfId="4135">
      <pivotArea dataOnly="0" labelOnly="1" fieldPosition="0">
        <references count="2">
          <reference field="0" count="1" selected="0">
            <x v="70"/>
          </reference>
          <reference field="1" count="2">
            <x v="92"/>
            <x v="93"/>
          </reference>
        </references>
      </pivotArea>
    </format>
    <format dxfId="4136">
      <pivotArea dataOnly="0" labelOnly="1" fieldPosition="0">
        <references count="2">
          <reference field="0" count="1" selected="0">
            <x v="71"/>
          </reference>
          <reference field="1" count="1">
            <x v="94"/>
          </reference>
        </references>
      </pivotArea>
    </format>
    <format dxfId="4137">
      <pivotArea dataOnly="0" labelOnly="1" fieldPosition="0">
        <references count="2">
          <reference field="0" count="1" selected="0">
            <x v="72"/>
          </reference>
          <reference field="1" count="1">
            <x v="95"/>
          </reference>
        </references>
      </pivotArea>
    </format>
    <format dxfId="4138">
      <pivotArea dataOnly="0" labelOnly="1" fieldPosition="0">
        <references count="2">
          <reference field="0" count="1" selected="0">
            <x v="73"/>
          </reference>
          <reference field="1" count="2">
            <x v="96"/>
            <x v="97"/>
          </reference>
        </references>
      </pivotArea>
    </format>
    <format dxfId="4139">
      <pivotArea dataOnly="0" labelOnly="1" fieldPosition="0">
        <references count="2">
          <reference field="0" count="1" selected="0">
            <x v="74"/>
          </reference>
          <reference field="1" count="1">
            <x v="98"/>
          </reference>
        </references>
      </pivotArea>
    </format>
    <format dxfId="4140">
      <pivotArea dataOnly="0" labelOnly="1" fieldPosition="0">
        <references count="2">
          <reference field="0" count="1" selected="0">
            <x v="75"/>
          </reference>
          <reference field="1" count="1">
            <x v="3"/>
          </reference>
        </references>
      </pivotArea>
    </format>
    <format dxfId="4141">
      <pivotArea dataOnly="0" labelOnly="1" fieldPosition="0">
        <references count="2">
          <reference field="0" count="1" selected="0">
            <x v="76"/>
          </reference>
          <reference field="1" count="1">
            <x v="99"/>
          </reference>
        </references>
      </pivotArea>
    </format>
    <format dxfId="4142">
      <pivotArea dataOnly="0" labelOnly="1" fieldPosition="0">
        <references count="2">
          <reference field="0" count="1" selected="0">
            <x v="77"/>
          </reference>
          <reference field="1" count="2">
            <x v="100"/>
            <x v="101"/>
          </reference>
        </references>
      </pivotArea>
    </format>
    <format dxfId="4143">
      <pivotArea dataOnly="0" labelOnly="1" fieldPosition="0">
        <references count="2">
          <reference field="0" count="1" selected="0">
            <x v="78"/>
          </reference>
          <reference field="1" count="1">
            <x v="102"/>
          </reference>
        </references>
      </pivotArea>
    </format>
    <format dxfId="4144">
      <pivotArea dataOnly="0" labelOnly="1" fieldPosition="0">
        <references count="2">
          <reference field="0" count="1" selected="0">
            <x v="79"/>
          </reference>
          <reference field="1" count="1">
            <x v="103"/>
          </reference>
        </references>
      </pivotArea>
    </format>
    <format dxfId="4145">
      <pivotArea dataOnly="0" labelOnly="1" fieldPosition="0">
        <references count="2">
          <reference field="0" count="1" selected="0">
            <x v="80"/>
          </reference>
          <reference field="1" count="1">
            <x v="104"/>
          </reference>
        </references>
      </pivotArea>
    </format>
    <format dxfId="4146">
      <pivotArea collapsedLevelsAreSubtotals="1" fieldPosition="0">
        <references count="2">
          <reference field="4294967294" count="1" selected="0">
            <x v="1"/>
          </reference>
          <reference field="0" count="1">
            <x v="14"/>
          </reference>
        </references>
      </pivotArea>
    </format>
    <format dxfId="4147">
      <pivotArea collapsedLevelsAreSubtotals="1" fieldPosition="0">
        <references count="2">
          <reference field="4294967294" count="1" selected="0">
            <x v="1"/>
          </reference>
          <reference field="0" count="1">
            <x v="0"/>
          </reference>
        </references>
      </pivotArea>
    </format>
    <format dxfId="4148">
      <pivotArea collapsedLevelsAreSubtotals="1" fieldPosition="0">
        <references count="2">
          <reference field="4294967294" count="1" selected="0">
            <x v="1"/>
          </reference>
          <reference field="0" count="1">
            <x v="5"/>
          </reference>
        </references>
      </pivotArea>
    </format>
    <format dxfId="4149">
      <pivotArea collapsedLevelsAreSubtotals="1" fieldPosition="0">
        <references count="2">
          <reference field="4294967294" count="1" selected="0">
            <x v="1"/>
          </reference>
          <reference field="0" count="1">
            <x v="9"/>
          </reference>
        </references>
      </pivotArea>
    </format>
    <format dxfId="4150">
      <pivotArea collapsedLevelsAreSubtotals="1" fieldPosition="0">
        <references count="2">
          <reference field="4294967294" count="1" selected="0">
            <x v="1"/>
          </reference>
          <reference field="0" count="1">
            <x v="11"/>
          </reference>
        </references>
      </pivotArea>
    </format>
    <format dxfId="4151">
      <pivotArea collapsedLevelsAreSubtotals="1" fieldPosition="0">
        <references count="2">
          <reference field="4294967294" count="1" selected="0">
            <x v="1"/>
          </reference>
          <reference field="0" count="1">
            <x v="16"/>
          </reference>
        </references>
      </pivotArea>
    </format>
    <format dxfId="4152">
      <pivotArea collapsedLevelsAreSubtotals="1" fieldPosition="0">
        <references count="2">
          <reference field="4294967294" count="1" selected="0">
            <x v="1"/>
          </reference>
          <reference field="0" count="1">
            <x v="17"/>
          </reference>
        </references>
      </pivotArea>
    </format>
    <format dxfId="4153">
      <pivotArea collapsedLevelsAreSubtotals="1" fieldPosition="0">
        <references count="2">
          <reference field="4294967294" count="1" selected="0">
            <x v="1"/>
          </reference>
          <reference field="0" count="1">
            <x v="18"/>
          </reference>
        </references>
      </pivotArea>
    </format>
    <format dxfId="4154">
      <pivotArea collapsedLevelsAreSubtotals="1" fieldPosition="0">
        <references count="2">
          <reference field="4294967294" count="1" selected="0">
            <x v="1"/>
          </reference>
          <reference field="0" count="1">
            <x v="4"/>
          </reference>
        </references>
      </pivotArea>
    </format>
    <format dxfId="4155">
      <pivotArea collapsedLevelsAreSubtotals="1" fieldPosition="0">
        <references count="2">
          <reference field="4294967294" count="1" selected="0">
            <x v="1"/>
          </reference>
          <reference field="0" count="1">
            <x v="12"/>
          </reference>
        </references>
      </pivotArea>
    </format>
    <format dxfId="4156">
      <pivotArea collapsedLevelsAreSubtotals="1" fieldPosition="0">
        <references count="2">
          <reference field="4294967294" count="1" selected="0">
            <x v="1"/>
          </reference>
          <reference field="0" count="1">
            <x v="15"/>
          </reference>
        </references>
      </pivotArea>
    </format>
    <format dxfId="4157">
      <pivotArea collapsedLevelsAreSubtotals="1" fieldPosition="0">
        <references count="2">
          <reference field="4294967294" count="1" selected="0">
            <x v="1"/>
          </reference>
          <reference field="0" count="1">
            <x v="3"/>
          </reference>
        </references>
      </pivotArea>
    </format>
    <format dxfId="4158">
      <pivotArea collapsedLevelsAreSubtotals="1" fieldPosition="0">
        <references count="2">
          <reference field="4294967294" count="1" selected="0">
            <x v="1"/>
          </reference>
          <reference field="0" count="1">
            <x v="8"/>
          </reference>
        </references>
      </pivotArea>
    </format>
    <format dxfId="4159">
      <pivotArea collapsedLevelsAreSubtotals="1" fieldPosition="0">
        <references count="2">
          <reference field="4294967294" count="1" selected="0">
            <x v="1"/>
          </reference>
          <reference field="0" count="1">
            <x v="13"/>
          </reference>
        </references>
      </pivotArea>
    </format>
    <format dxfId="4160">
      <pivotArea collapsedLevelsAreSubtotals="1" fieldPosition="0">
        <references count="2">
          <reference field="4294967294" count="1" selected="0">
            <x v="1"/>
          </reference>
          <reference field="0" count="1">
            <x v="2"/>
          </reference>
        </references>
      </pivotArea>
    </format>
    <format dxfId="4161">
      <pivotArea collapsedLevelsAreSubtotals="1" fieldPosition="0">
        <references count="2">
          <reference field="4294967294" count="1" selected="0">
            <x v="1"/>
          </reference>
          <reference field="0" count="1">
            <x v="10"/>
          </reference>
        </references>
      </pivotArea>
    </format>
    <format dxfId="4162">
      <pivotArea collapsedLevelsAreSubtotals="1" fieldPosition="0">
        <references count="2">
          <reference field="4294967294" count="1" selected="0">
            <x v="1"/>
          </reference>
          <reference field="0" count="1">
            <x v="6"/>
          </reference>
        </references>
      </pivotArea>
    </format>
    <format dxfId="4163">
      <pivotArea collapsedLevelsAreSubtotals="1" fieldPosition="0">
        <references count="2">
          <reference field="4294967294" count="1" selected="0">
            <x v="1"/>
          </reference>
          <reference field="0" count="1">
            <x v="1"/>
          </reference>
        </references>
      </pivotArea>
    </format>
    <format dxfId="4164">
      <pivotArea collapsedLevelsAreSubtotals="1" fieldPosition="0">
        <references count="2">
          <reference field="4294967294" count="1" selected="0">
            <x v="1"/>
          </reference>
          <reference field="0" count="1">
            <x v="7"/>
          </reference>
        </references>
      </pivotArea>
    </format>
    <format dxfId="4165">
      <pivotArea dataOnly="0" labelOnly="1" fieldPosition="0">
        <references count="1">
          <reference field="0" count="1">
            <x v="40"/>
          </reference>
        </references>
      </pivotArea>
    </format>
    <format dxfId="4166">
      <pivotArea dataOnly="0" labelOnly="1" fieldPosition="0">
        <references count="2">
          <reference field="0" count="1" selected="0">
            <x v="61"/>
          </reference>
          <reference field="1" count="1">
            <x v="6"/>
          </reference>
        </references>
      </pivotArea>
    </format>
    <format dxfId="4167">
      <pivotArea dataOnly="0" labelOnly="1" fieldPosition="0">
        <references count="1">
          <reference field="0" count="1">
            <x v="39"/>
          </reference>
        </references>
      </pivotArea>
    </format>
    <format dxfId="4168">
      <pivotArea dataOnly="0" labelOnly="1" fieldPosition="0">
        <references count="1">
          <reference field="0" count="1">
            <x v="55"/>
          </reference>
        </references>
      </pivotArea>
    </format>
    <format dxfId="4169">
      <pivotArea dataOnly="0" labelOnly="1" fieldPosition="0">
        <references count="1">
          <reference field="0" count="1">
            <x v="79"/>
          </reference>
        </references>
      </pivotArea>
    </format>
    <format dxfId="4170">
      <pivotArea dataOnly="0" labelOnly="1" fieldPosition="0">
        <references count="1">
          <reference field="0" count="1">
            <x v="66"/>
          </reference>
        </references>
      </pivotArea>
    </format>
    <format dxfId="2781">
      <pivotArea field="0" type="button" dataOnly="0" labelOnly="1" outline="0" axis="axisRow" fieldPosition="0"/>
    </format>
    <format dxfId="2780">
      <pivotArea dataOnly="0" labelOnly="1" outline="0" fieldPosition="0">
        <references count="1">
          <reference field="4294967294" count="6">
            <x v="0"/>
            <x v="1"/>
            <x v="2"/>
            <x v="3"/>
            <x v="4"/>
            <x v="5"/>
          </reference>
        </references>
      </pivotArea>
    </format>
    <format dxfId="2779">
      <pivotArea field="0" type="button" dataOnly="0" labelOnly="1" outline="0" axis="axisRow" fieldPosition="0"/>
    </format>
    <format dxfId="2778">
      <pivotArea dataOnly="0" labelOnly="1" outline="0" fieldPosition="0">
        <references count="1">
          <reference field="4294967294" count="6">
            <x v="0"/>
            <x v="1"/>
            <x v="2"/>
            <x v="3"/>
            <x v="4"/>
            <x v="5"/>
          </reference>
        </references>
      </pivotArea>
    </format>
    <format dxfId="2777">
      <pivotArea field="0" type="button" dataOnly="0" labelOnly="1" outline="0" axis="axisRow" fieldPosition="0"/>
    </format>
    <format dxfId="2776">
      <pivotArea dataOnly="0" labelOnly="1" outline="0" fieldPosition="0">
        <references count="1">
          <reference field="4294967294" count="6">
            <x v="0"/>
            <x v="1"/>
            <x v="2"/>
            <x v="3"/>
            <x v="4"/>
            <x v="5"/>
          </reference>
        </references>
      </pivotArea>
    </format>
  </formats>
  <conditionalFormats count="1">
    <conditionalFormat priority="1">
      <pivotAreas count="81">
        <pivotArea type="data" collapsedLevelsAreSubtotals="1" fieldPosition="0">
          <references count="2">
            <reference field="4294967294" count="1" selected="0">
              <x v="1"/>
            </reference>
            <reference field="0" count="1">
              <x v="37"/>
            </reference>
          </references>
        </pivotArea>
        <pivotArea type="data" collapsedLevelsAreSubtotals="1" fieldPosition="0">
          <references count="2">
            <reference field="4294967294" count="1" selected="0">
              <x v="1"/>
            </reference>
            <reference field="0" count="1">
              <x v="61"/>
            </reference>
          </references>
        </pivotArea>
        <pivotArea type="data" collapsedLevelsAreSubtotals="1" fieldPosition="0">
          <references count="2">
            <reference field="4294967294" count="1" selected="0">
              <x v="1"/>
            </reference>
            <reference field="0" count="1">
              <x v="63"/>
            </reference>
          </references>
        </pivotArea>
        <pivotArea type="data" collapsedLevelsAreSubtotals="1" fieldPosition="0">
          <references count="2">
            <reference field="4294967294" count="1" selected="0">
              <x v="1"/>
            </reference>
            <reference field="0" count="1">
              <x v="40"/>
            </reference>
          </references>
        </pivotArea>
        <pivotArea type="data" collapsedLevelsAreSubtotals="1" fieldPosition="0">
          <references count="2">
            <reference field="4294967294" count="1" selected="0">
              <x v="1"/>
            </reference>
            <reference field="0" count="1">
              <x v="42"/>
            </reference>
          </references>
        </pivotArea>
        <pivotArea type="data" collapsedLevelsAreSubtotals="1" fieldPosition="0">
          <references count="2">
            <reference field="4294967294" count="1" selected="0">
              <x v="1"/>
            </reference>
            <reference field="0" count="1">
              <x v="39"/>
            </reference>
          </references>
        </pivotArea>
        <pivotArea type="data" collapsedLevelsAreSubtotals="1" fieldPosition="0">
          <references count="2">
            <reference field="4294967294" count="1" selected="0">
              <x v="1"/>
            </reference>
            <reference field="0" count="1">
              <x v="28"/>
            </reference>
          </references>
        </pivotArea>
        <pivotArea type="data" collapsedLevelsAreSubtotals="1" fieldPosition="0">
          <references count="2">
            <reference field="4294967294" count="1" selected="0">
              <x v="1"/>
            </reference>
            <reference field="0" count="1">
              <x v="69"/>
            </reference>
          </references>
        </pivotArea>
        <pivotArea type="data" collapsedLevelsAreSubtotals="1" fieldPosition="0">
          <references count="2">
            <reference field="4294967294" count="1" selected="0">
              <x v="1"/>
            </reference>
            <reference field="0" count="1">
              <x v="79"/>
            </reference>
          </references>
        </pivotArea>
        <pivotArea type="data" collapsedLevelsAreSubtotals="1" fieldPosition="0">
          <references count="2">
            <reference field="4294967294" count="1" selected="0">
              <x v="1"/>
            </reference>
            <reference field="0" count="1">
              <x v="55"/>
            </reference>
          </references>
        </pivotArea>
        <pivotArea type="data" collapsedLevelsAreSubtotals="1" fieldPosition="0">
          <references count="2">
            <reference field="4294967294" count="1" selected="0">
              <x v="1"/>
            </reference>
            <reference field="0" count="1">
              <x v="7"/>
            </reference>
          </references>
        </pivotArea>
        <pivotArea type="data" collapsedLevelsAreSubtotals="1" fieldPosition="0">
          <references count="2">
            <reference field="4294967294" count="1" selected="0">
              <x v="1"/>
            </reference>
            <reference field="0" count="1">
              <x v="66"/>
            </reference>
          </references>
        </pivotArea>
        <pivotArea type="data" collapsedLevelsAreSubtotals="1" fieldPosition="0">
          <references count="2">
            <reference field="4294967294" count="1" selected="0">
              <x v="1"/>
            </reference>
            <reference field="0" count="1">
              <x v="34"/>
            </reference>
          </references>
        </pivotArea>
        <pivotArea type="data" collapsedLevelsAreSubtotals="1" fieldPosition="0">
          <references count="2">
            <reference field="4294967294" count="1" selected="0">
              <x v="1"/>
            </reference>
            <reference field="0" count="1">
              <x v="14"/>
            </reference>
          </references>
        </pivotArea>
        <pivotArea type="data" collapsedLevelsAreSubtotals="1" fieldPosition="0">
          <references count="2">
            <reference field="4294967294" count="1" selected="0">
              <x v="1"/>
            </reference>
            <reference field="0" count="1">
              <x v="0"/>
            </reference>
          </references>
        </pivotArea>
        <pivotArea type="data" collapsedLevelsAreSubtotals="1" fieldPosition="0">
          <references count="2">
            <reference field="4294967294" count="1" selected="0">
              <x v="1"/>
            </reference>
            <reference field="0" count="1">
              <x v="23"/>
            </reference>
          </references>
        </pivotArea>
        <pivotArea type="data" collapsedLevelsAreSubtotals="1" fieldPosition="0">
          <references count="2">
            <reference field="4294967294" count="1" selected="0">
              <x v="1"/>
            </reference>
            <reference field="0" count="1">
              <x v="5"/>
            </reference>
          </references>
        </pivotArea>
        <pivotArea type="data" collapsedLevelsAreSubtotals="1" fieldPosition="0">
          <references count="2">
            <reference field="4294967294" count="1" selected="0">
              <x v="1"/>
            </reference>
            <reference field="0" count="1">
              <x v="9"/>
            </reference>
          </references>
        </pivotArea>
        <pivotArea type="data" collapsedLevelsAreSubtotals="1" fieldPosition="0">
          <references count="2">
            <reference field="4294967294" count="1" selected="0">
              <x v="1"/>
            </reference>
            <reference field="0" count="1">
              <x v="53"/>
            </reference>
          </references>
        </pivotArea>
        <pivotArea type="data" collapsedLevelsAreSubtotals="1" fieldPosition="0">
          <references count="2">
            <reference field="4294967294" count="1" selected="0">
              <x v="1"/>
            </reference>
            <reference field="0" count="1">
              <x v="11"/>
            </reference>
          </references>
        </pivotArea>
        <pivotArea type="data" collapsedLevelsAreSubtotals="1" fieldPosition="0">
          <references count="2">
            <reference field="4294967294" count="1" selected="0">
              <x v="1"/>
            </reference>
            <reference field="0" count="1">
              <x v="16"/>
            </reference>
          </references>
        </pivotArea>
        <pivotArea type="data" collapsedLevelsAreSubtotals="1" fieldPosition="0">
          <references count="2">
            <reference field="4294967294" count="1" selected="0">
              <x v="1"/>
            </reference>
            <reference field="0" count="1">
              <x v="36"/>
            </reference>
          </references>
        </pivotArea>
        <pivotArea type="data" collapsedLevelsAreSubtotals="1" fieldPosition="0">
          <references count="2">
            <reference field="4294967294" count="1" selected="0">
              <x v="1"/>
            </reference>
            <reference field="0" count="1">
              <x v="65"/>
            </reference>
          </references>
        </pivotArea>
        <pivotArea type="data" collapsedLevelsAreSubtotals="1" fieldPosition="0">
          <references count="2">
            <reference field="4294967294" count="1" selected="0">
              <x v="1"/>
            </reference>
            <reference field="0" count="1">
              <x v="20"/>
            </reference>
          </references>
        </pivotArea>
        <pivotArea type="data" collapsedLevelsAreSubtotals="1" fieldPosition="0">
          <references count="2">
            <reference field="4294967294" count="1" selected="0">
              <x v="1"/>
            </reference>
            <reference field="0" count="1">
              <x v="17"/>
            </reference>
          </references>
        </pivotArea>
        <pivotArea type="data" collapsedLevelsAreSubtotals="1" fieldPosition="0">
          <references count="2">
            <reference field="4294967294" count="1" selected="0">
              <x v="1"/>
            </reference>
            <reference field="0" count="1">
              <x v="33"/>
            </reference>
          </references>
        </pivotArea>
        <pivotArea type="data" collapsedLevelsAreSubtotals="1" fieldPosition="0">
          <references count="2">
            <reference field="4294967294" count="1" selected="0">
              <x v="1"/>
            </reference>
            <reference field="0" count="1">
              <x v="68"/>
            </reference>
          </references>
        </pivotArea>
        <pivotArea type="data" collapsedLevelsAreSubtotals="1" fieldPosition="0">
          <references count="2">
            <reference field="4294967294" count="1" selected="0">
              <x v="1"/>
            </reference>
            <reference field="0" count="1">
              <x v="38"/>
            </reference>
          </references>
        </pivotArea>
        <pivotArea type="data" collapsedLevelsAreSubtotals="1" fieldPosition="0">
          <references count="2">
            <reference field="4294967294" count="1" selected="0">
              <x v="1"/>
            </reference>
            <reference field="0" count="1">
              <x v="18"/>
            </reference>
          </references>
        </pivotArea>
        <pivotArea type="data" collapsedLevelsAreSubtotals="1" fieldPosition="0">
          <references count="2">
            <reference field="4294967294" count="1" selected="0">
              <x v="1"/>
            </reference>
            <reference field="0" count="1">
              <x v="35"/>
            </reference>
          </references>
        </pivotArea>
        <pivotArea type="data" collapsedLevelsAreSubtotals="1" fieldPosition="0">
          <references count="2">
            <reference field="4294967294" count="1" selected="0">
              <x v="1"/>
            </reference>
            <reference field="0" count="1">
              <x v="71"/>
            </reference>
          </references>
        </pivotArea>
        <pivotArea type="data" collapsedLevelsAreSubtotals="1" fieldPosition="0">
          <references count="2">
            <reference field="4294967294" count="1" selected="0">
              <x v="1"/>
            </reference>
            <reference field="0" count="1">
              <x v="24"/>
            </reference>
          </references>
        </pivotArea>
        <pivotArea type="data" collapsedLevelsAreSubtotals="1" fieldPosition="0">
          <references count="2">
            <reference field="4294967294" count="1" selected="0">
              <x v="1"/>
            </reference>
            <reference field="0" count="1">
              <x v="72"/>
            </reference>
          </references>
        </pivotArea>
        <pivotArea type="data" collapsedLevelsAreSubtotals="1" fieldPosition="0">
          <references count="2">
            <reference field="4294967294" count="1" selected="0">
              <x v="1"/>
            </reference>
            <reference field="0" count="1">
              <x v="4"/>
            </reference>
          </references>
        </pivotArea>
        <pivotArea type="data" collapsedLevelsAreSubtotals="1" fieldPosition="0">
          <references count="2">
            <reference field="4294967294" count="1" selected="0">
              <x v="1"/>
            </reference>
            <reference field="0" count="1">
              <x v="57"/>
            </reference>
          </references>
        </pivotArea>
        <pivotArea type="data" collapsedLevelsAreSubtotals="1" fieldPosition="0">
          <references count="2">
            <reference field="4294967294" count="1" selected="0">
              <x v="1"/>
            </reference>
            <reference field="0" count="1">
              <x v="12"/>
            </reference>
          </references>
        </pivotArea>
        <pivotArea type="data" collapsedLevelsAreSubtotals="1" fieldPosition="0">
          <references count="2">
            <reference field="4294967294" count="1" selected="0">
              <x v="1"/>
            </reference>
            <reference field="0" count="1">
              <x v="58"/>
            </reference>
          </references>
        </pivotArea>
        <pivotArea type="data" collapsedLevelsAreSubtotals="1" fieldPosition="0">
          <references count="2">
            <reference field="4294967294" count="1" selected="0">
              <x v="1"/>
            </reference>
            <reference field="0" count="1">
              <x v="26"/>
            </reference>
          </references>
        </pivotArea>
        <pivotArea type="data" collapsedLevelsAreSubtotals="1" fieldPosition="0">
          <references count="2">
            <reference field="4294967294" count="1" selected="0">
              <x v="1"/>
            </reference>
            <reference field="0" count="1">
              <x v="19"/>
            </reference>
          </references>
        </pivotArea>
        <pivotArea type="data" collapsedLevelsAreSubtotals="1" fieldPosition="0">
          <references count="2">
            <reference field="4294967294" count="1" selected="0">
              <x v="1"/>
            </reference>
            <reference field="0" count="1">
              <x v="22"/>
            </reference>
          </references>
        </pivotArea>
        <pivotArea type="data" collapsedLevelsAreSubtotals="1" fieldPosition="0">
          <references count="2">
            <reference field="4294967294" count="1" selected="0">
              <x v="1"/>
            </reference>
            <reference field="0" count="1">
              <x v="59"/>
            </reference>
          </references>
        </pivotArea>
        <pivotArea type="data" collapsedLevelsAreSubtotals="1" fieldPosition="0">
          <references count="2">
            <reference field="4294967294" count="1" selected="0">
              <x v="1"/>
            </reference>
            <reference field="0" count="1">
              <x v="15"/>
            </reference>
          </references>
        </pivotArea>
        <pivotArea type="data" collapsedLevelsAreSubtotals="1" fieldPosition="0">
          <references count="2">
            <reference field="4294967294" count="1" selected="0">
              <x v="1"/>
            </reference>
            <reference field="0" count="1">
              <x v="3"/>
            </reference>
          </references>
        </pivotArea>
        <pivotArea type="data" collapsedLevelsAreSubtotals="1" fieldPosition="0">
          <references count="2">
            <reference field="4294967294" count="1" selected="0">
              <x v="1"/>
            </reference>
            <reference field="0" count="1">
              <x v="45"/>
            </reference>
          </references>
        </pivotArea>
        <pivotArea type="data" collapsedLevelsAreSubtotals="1" fieldPosition="0">
          <references count="2">
            <reference field="4294967294" count="1" selected="0">
              <x v="1"/>
            </reference>
            <reference field="0" count="1">
              <x v="64"/>
            </reference>
          </references>
        </pivotArea>
        <pivotArea type="data" collapsedLevelsAreSubtotals="1" fieldPosition="0">
          <references count="2">
            <reference field="4294967294" count="1" selected="0">
              <x v="1"/>
            </reference>
            <reference field="0" count="1">
              <x v="48"/>
            </reference>
          </references>
        </pivotArea>
        <pivotArea type="data" collapsedLevelsAreSubtotals="1" fieldPosition="0">
          <references count="2">
            <reference field="4294967294" count="1" selected="0">
              <x v="1"/>
            </reference>
            <reference field="0" count="1">
              <x v="29"/>
            </reference>
          </references>
        </pivotArea>
        <pivotArea type="data" collapsedLevelsAreSubtotals="1" fieldPosition="0">
          <references count="2">
            <reference field="4294967294" count="1" selected="0">
              <x v="1"/>
            </reference>
            <reference field="0" count="1">
              <x v="54"/>
            </reference>
          </references>
        </pivotArea>
        <pivotArea type="data" collapsedLevelsAreSubtotals="1" fieldPosition="0">
          <references count="2">
            <reference field="4294967294" count="1" selected="0">
              <x v="1"/>
            </reference>
            <reference field="0" count="1">
              <x v="30"/>
            </reference>
          </references>
        </pivotArea>
        <pivotArea type="data" collapsedLevelsAreSubtotals="1" fieldPosition="0">
          <references count="2">
            <reference field="4294967294" count="1" selected="0">
              <x v="1"/>
            </reference>
            <reference field="0" count="1">
              <x v="41"/>
            </reference>
          </references>
        </pivotArea>
        <pivotArea type="data" collapsedLevelsAreSubtotals="1" fieldPosition="0">
          <references count="2">
            <reference field="4294967294" count="1" selected="0">
              <x v="1"/>
            </reference>
            <reference field="0" count="1">
              <x v="31"/>
            </reference>
          </references>
        </pivotArea>
        <pivotArea type="data" collapsedLevelsAreSubtotals="1" fieldPosition="0">
          <references count="2">
            <reference field="4294967294" count="1" selected="0">
              <x v="1"/>
            </reference>
            <reference field="0" count="1">
              <x v="46"/>
            </reference>
          </references>
        </pivotArea>
        <pivotArea type="data" collapsedLevelsAreSubtotals="1" fieldPosition="0">
          <references count="2">
            <reference field="4294967294" count="1" selected="0">
              <x v="1"/>
            </reference>
            <reference field="0" count="1">
              <x v="32"/>
            </reference>
          </references>
        </pivotArea>
        <pivotArea type="data" collapsedLevelsAreSubtotals="1" fieldPosition="0">
          <references count="2">
            <reference field="4294967294" count="1" selected="0">
              <x v="1"/>
            </reference>
            <reference field="0" count="1">
              <x v="80"/>
            </reference>
          </references>
        </pivotArea>
        <pivotArea type="data" collapsedLevelsAreSubtotals="1" fieldPosition="0">
          <references count="2">
            <reference field="4294967294" count="1" selected="0">
              <x v="1"/>
            </reference>
            <reference field="0" count="1">
              <x v="76"/>
            </reference>
          </references>
        </pivotArea>
        <pivotArea type="data" collapsedLevelsAreSubtotals="1" fieldPosition="0">
          <references count="2">
            <reference field="4294967294" count="1" selected="0">
              <x v="1"/>
            </reference>
            <reference field="0" count="1">
              <x v="49"/>
            </reference>
          </references>
        </pivotArea>
        <pivotArea type="data" collapsedLevelsAreSubtotals="1" fieldPosition="0">
          <references count="2">
            <reference field="4294967294" count="1" selected="0">
              <x v="1"/>
            </reference>
            <reference field="0" count="1">
              <x v="78"/>
            </reference>
          </references>
        </pivotArea>
        <pivotArea type="data" collapsedLevelsAreSubtotals="1" fieldPosition="0">
          <references count="2">
            <reference field="4294967294" count="1" selected="0">
              <x v="1"/>
            </reference>
            <reference field="0" count="1">
              <x v="44"/>
            </reference>
          </references>
        </pivotArea>
        <pivotArea type="data" collapsedLevelsAreSubtotals="1" fieldPosition="0">
          <references count="2">
            <reference field="4294967294" count="1" selected="0">
              <x v="1"/>
            </reference>
            <reference field="0" count="1">
              <x v="8"/>
            </reference>
          </references>
        </pivotArea>
        <pivotArea type="data" collapsedLevelsAreSubtotals="1" fieldPosition="0">
          <references count="2">
            <reference field="4294967294" count="1" selected="0">
              <x v="1"/>
            </reference>
            <reference field="0" count="1">
              <x v="13"/>
            </reference>
          </references>
        </pivotArea>
        <pivotArea type="data" collapsedLevelsAreSubtotals="1" fieldPosition="0">
          <references count="2">
            <reference field="4294967294" count="1" selected="0">
              <x v="1"/>
            </reference>
            <reference field="0" count="1">
              <x v="70"/>
            </reference>
          </references>
        </pivotArea>
        <pivotArea type="data" collapsedLevelsAreSubtotals="1" fieldPosition="0">
          <references count="2">
            <reference field="4294967294" count="1" selected="0">
              <x v="1"/>
            </reference>
            <reference field="0" count="1">
              <x v="52"/>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2">
            <reference field="4294967294" count="1" selected="0">
              <x v="1"/>
            </reference>
            <reference field="0" count="1">
              <x v="62"/>
            </reference>
          </references>
        </pivotArea>
        <pivotArea type="data" collapsedLevelsAreSubtotals="1" fieldPosition="0">
          <references count="2">
            <reference field="4294967294" count="1" selected="0">
              <x v="1"/>
            </reference>
            <reference field="0" count="1">
              <x v="47"/>
            </reference>
          </references>
        </pivotArea>
        <pivotArea type="data" collapsedLevelsAreSubtotals="1" fieldPosition="0">
          <references count="2">
            <reference field="4294967294" count="1" selected="0">
              <x v="1"/>
            </reference>
            <reference field="0" count="1">
              <x v="51"/>
            </reference>
          </references>
        </pivotArea>
        <pivotArea type="data" collapsedLevelsAreSubtotals="1" fieldPosition="0">
          <references count="2">
            <reference field="4294967294" count="1" selected="0">
              <x v="1"/>
            </reference>
            <reference field="0" count="1">
              <x v="73"/>
            </reference>
          </references>
        </pivotArea>
        <pivotArea type="data" collapsedLevelsAreSubtotals="1" fieldPosition="0">
          <references count="2">
            <reference field="4294967294" count="1" selected="0">
              <x v="1"/>
            </reference>
            <reference field="0" count="1">
              <x v="10"/>
            </reference>
          </references>
        </pivotArea>
        <pivotArea type="data" collapsedLevelsAreSubtotals="1" fieldPosition="0">
          <references count="2">
            <reference field="4294967294" count="1" selected="0">
              <x v="1"/>
            </reference>
            <reference field="0" count="1">
              <x v="74"/>
            </reference>
          </references>
        </pivotArea>
        <pivotArea type="data" collapsedLevelsAreSubtotals="1" fieldPosition="0">
          <references count="2">
            <reference field="4294967294" count="1" selected="0">
              <x v="1"/>
            </reference>
            <reference field="0" count="1">
              <x v="50"/>
            </reference>
          </references>
        </pivotArea>
        <pivotArea type="data" collapsedLevelsAreSubtotals="1" fieldPosition="0">
          <references count="2">
            <reference field="4294967294" count="1" selected="0">
              <x v="1"/>
            </reference>
            <reference field="0" count="1">
              <x v="56"/>
            </reference>
          </references>
        </pivotArea>
        <pivotArea type="data" collapsedLevelsAreSubtotals="1" fieldPosition="0">
          <references count="2">
            <reference field="4294967294" count="1" selected="0">
              <x v="1"/>
            </reference>
            <reference field="0" count="1">
              <x v="6"/>
            </reference>
          </references>
        </pivotArea>
        <pivotArea type="data" collapsedLevelsAreSubtotals="1" fieldPosition="0">
          <references count="2">
            <reference field="4294967294" count="1" selected="0">
              <x v="1"/>
            </reference>
            <reference field="0" count="1">
              <x v="21"/>
            </reference>
          </references>
        </pivotArea>
        <pivotArea type="data" collapsedLevelsAreSubtotals="1" fieldPosition="0">
          <references count="2">
            <reference field="4294967294" count="1" selected="0">
              <x v="1"/>
            </reference>
            <reference field="0" count="1">
              <x v="27"/>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2">
            <reference field="4294967294" count="1" selected="0">
              <x v="1"/>
            </reference>
            <reference field="0" count="1">
              <x v="60"/>
            </reference>
          </references>
        </pivotArea>
        <pivotArea type="data" collapsedLevelsAreSubtotals="1" fieldPosition="0">
          <references count="2">
            <reference field="4294967294" count="1" selected="0">
              <x v="1"/>
            </reference>
            <reference field="0" count="1">
              <x v="67"/>
            </reference>
          </references>
        </pivotArea>
        <pivotArea type="data" collapsedLevelsAreSubtotals="1" fieldPosition="0">
          <references count="2">
            <reference field="4294967294" count="1" selected="0">
              <x v="1"/>
            </reference>
            <reference field="0" count="1">
              <x v="43"/>
            </reference>
          </references>
        </pivotArea>
        <pivotArea type="data" collapsedLevelsAreSubtotals="1" fieldPosition="0">
          <references count="2">
            <reference field="4294967294" count="1" selected="0">
              <x v="1"/>
            </reference>
            <reference field="0" count="1">
              <x v="77"/>
            </reference>
          </references>
        </pivotArea>
        <pivotArea type="data" collapsedLevelsAreSubtotals="1" fieldPosition="0">
          <references count="2">
            <reference field="4294967294" count="1" selected="0">
              <x v="1"/>
            </reference>
            <reference field="0" count="1">
              <x v="25"/>
            </reference>
          </references>
        </pivotArea>
        <pivotArea type="data" collapsedLevelsAreSubtotals="1" fieldPosition="0">
          <references count="2">
            <reference field="4294967294" count="1" selected="0">
              <x v="1"/>
            </reference>
            <reference field="0" count="1">
              <x v="75"/>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Филиалы с экспертами в штате."/>
    <pivotHierarchy dragToRow="0" dragToCol="0" dragToPage="0" dragToData="1" caption="Экспертов факт."/>
    <pivotHierarchy dragToRow="0" dragToCol="0" dragToPage="0" dragToData="1" caption="Кандидатов факт."/>
    <pivotHierarchy dragToRow="0" dragToCol="0" dragToPage="0" dragToData="1" caption="Кандидат снят"/>
    <pivotHierarchy dragToRow="0" dragToCol="0" dragToPage="0" dragToData="1" caption="Текущий баланс по субъектам"/>
    <pivotHierarchy dragToRow="0" dragToCol="0" dragToPage="0" dragToData="1" caption="Требуется экспертов"/>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7" showRowHeaders="1" showColHeaders="1" showRowStripes="0" showColStripes="0" showLastColumn="1"/>
  <rowHierarchiesUsage count="2">
    <rowHierarchyUsage hierarchyUsage="4"/>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Таблица3]"/>
        <x15:activeTabTopLevelEntity name="[MainQuery2Source 1]"/>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224DD6DF-7709-4809-80A7-C7039818DE87}" autoFormatId="16" applyNumberFormats="0" applyBorderFormats="0" applyFontFormats="0" applyPatternFormats="0" applyAlignmentFormats="0" applyWidthHeightFormats="0">
  <queryTableRefresh nextId="6">
    <queryTableFields count="5">
      <queryTableField id="1" name="Дата" tableColumnId="1"/>
      <queryTableField id="2" name="Всего" tableColumnId="2"/>
      <queryTableField id="3" name="Эксперты" tableColumnId="3"/>
      <queryTableField id="4" name="% экспертов" tableColumnId="4"/>
      <queryTableField id="5" name="Кандидаты"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8501AA-2C12-46AE-B923-9337556B0004}" name="AttestDinamic" displayName="AttestDinamic" ref="B9:F21" tableType="queryTable" totalsRowShown="0" headerRowDxfId="2788" dataDxfId="2787" headerRowCellStyle="Обычный 2" dataCellStyle="Обычный 2">
  <autoFilter ref="B9:F21" xr:uid="{269B7E37-B9A0-4750-9CBC-A6EB4347AFAE}"/>
  <tableColumns count="5">
    <tableColumn id="1" xr3:uid="{07C33A56-58C4-4E42-BD10-3EBCF4E059A7}" uniqueName="1" name="Дата" queryTableFieldId="1" dataDxfId="2786" dataCellStyle="Обычный 2"/>
    <tableColumn id="2" xr3:uid="{5786254E-112B-4ADA-861D-918E5D96D79D}" uniqueName="2" name="Всего" queryTableFieldId="2" dataDxfId="2785" dataCellStyle="Обычный 2"/>
    <tableColumn id="3" xr3:uid="{43D92287-F197-41C3-AD0A-05385FC72992}" uniqueName="3" name="Эксперты" queryTableFieldId="3" dataDxfId="2784" dataCellStyle="Обычный 2"/>
    <tableColumn id="4" xr3:uid="{8274BBFC-1740-4946-9DDF-1A5D05F0AB5C}" uniqueName="4" name="% экспертов" queryTableFieldId="4" dataDxfId="2783" dataCellStyle="Обычный 2"/>
    <tableColumn id="5" xr3:uid="{67D30AD4-BB8F-4596-917C-9DAB63C8ADBB}" uniqueName="5" name="Кандидаты" queryTableFieldId="5" dataDxfId="2782" dataCellStyle="Обычный 2"/>
  </tableColumns>
  <tableStyleInfo name="asd_202401 3"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28140-71E7-4F2D-9B35-78CC8841C99D}">
  <sheetPr>
    <tabColor rgb="FF7CC1AC"/>
    <pageSetUpPr fitToPage="1"/>
  </sheetPr>
  <dimension ref="B2:R220"/>
  <sheetViews>
    <sheetView showGridLines="0" tabSelected="1" topLeftCell="A2" zoomScale="70" zoomScaleNormal="70" workbookViewId="0">
      <selection activeCell="T9" sqref="T9"/>
    </sheetView>
  </sheetViews>
  <sheetFormatPr defaultColWidth="9.109375" defaultRowHeight="13.8" x14ac:dyDescent="0.25"/>
  <cols>
    <col min="1" max="1" width="4.44140625" style="1" customWidth="1"/>
    <col min="2" max="2" width="14.88671875" style="1" bestFit="1" customWidth="1"/>
    <col min="3" max="3" width="15.109375" style="1" bestFit="1" customWidth="1"/>
    <col min="4" max="4" width="19.6640625" style="1" bestFit="1" customWidth="1"/>
    <col min="5" max="5" width="22.5546875" style="1" bestFit="1" customWidth="1"/>
    <col min="6" max="6" width="21.33203125" style="1" bestFit="1" customWidth="1"/>
    <col min="7" max="7" width="12.44140625" style="1" bestFit="1" customWidth="1"/>
    <col min="8" max="8" width="5.44140625" style="1" customWidth="1"/>
    <col min="9" max="9" width="4.6640625" style="1" customWidth="1"/>
    <col min="10" max="10" width="43.6640625" style="1" customWidth="1"/>
    <col min="11" max="16" width="10" style="1" customWidth="1"/>
    <col min="17" max="16384" width="9.109375" style="1"/>
  </cols>
  <sheetData>
    <row r="2" spans="2:18" ht="25.95" customHeight="1" x14ac:dyDescent="0.25">
      <c r="F2" s="2" t="s">
        <v>0</v>
      </c>
    </row>
    <row r="3" spans="2:18" ht="16.2" customHeight="1" x14ac:dyDescent="0.25">
      <c r="P3" s="3" t="str">
        <f ca="1">"По состоянию на  "&amp;TEXT(TODAY(),"ДД.ММ.ГГГГ")&amp;" г."</f>
        <v>По состоянию на  15.05.2026 г.</v>
      </c>
    </row>
    <row r="4" spans="2:18" ht="17.399999999999999" customHeight="1" x14ac:dyDescent="0.25">
      <c r="M4" s="4"/>
    </row>
    <row r="5" spans="2:18" ht="21.6" customHeight="1" x14ac:dyDescent="0.3">
      <c r="C5" s="5" t="str" cm="1">
        <f t="array" ref="C5">"Филиалов, участвующих в аттестации: "&amp;COUNTA(_xlfn.UNIQUE(_xlfn._xlws.FILTER([1]!MainQuery2Source[Филиал],[1]!MainQuery2Source[Статус]&lt;&gt;"снят")))</f>
        <v>Филиалов, участвующих в аттестации: 97</v>
      </c>
      <c r="M5" s="4"/>
    </row>
    <row r="6" spans="2:18" ht="27.6" customHeight="1" x14ac:dyDescent="0.25">
      <c r="J6" s="6" t="s">
        <v>1</v>
      </c>
    </row>
    <row r="7" spans="2:18" s="7" customFormat="1" ht="19.95" customHeight="1" x14ac:dyDescent="0.3">
      <c r="G7" s="8"/>
      <c r="H7" s="8"/>
      <c r="J7" s="9" t="str">
        <f>"Всего участников "&amp;SUM(M7:N7)&amp;" чел. "</f>
        <v xml:space="preserve">Всего участников 181 чел. </v>
      </c>
      <c r="K7" s="10">
        <f>GETPIVOTDATA("[Measures].[ЭкспертыРасчет]",$J$9)</f>
        <v>129</v>
      </c>
      <c r="L7" s="11">
        <f>SUMIF(L10:L90,"&lt;0",L10:L90)</f>
        <v>-23</v>
      </c>
      <c r="M7" s="12">
        <f>GETPIVOTDATA("[Measures].[ЭкспертФакт]",$J$9)</f>
        <v>61</v>
      </c>
      <c r="N7" s="13">
        <f>GETPIVOTDATA("[Measures].[КандидатФакт]",$J$9)</f>
        <v>120</v>
      </c>
      <c r="O7" s="14">
        <f>GETPIVOTDATA("[Measures].[ФилиалыЭксперты]",$J$9)</f>
        <v>49</v>
      </c>
      <c r="P7" s="15">
        <f>GETPIVOTDATA("[Measures].[Снят]",$J$9)</f>
        <v>15</v>
      </c>
    </row>
    <row r="8" spans="2:18" ht="7.95" customHeight="1" x14ac:dyDescent="0.3">
      <c r="J8" s="8"/>
      <c r="K8" s="8"/>
      <c r="L8" s="8"/>
      <c r="M8" s="8"/>
      <c r="N8" s="16"/>
    </row>
    <row r="9" spans="2:18" ht="192" x14ac:dyDescent="0.3">
      <c r="B9" s="17" t="s">
        <v>2</v>
      </c>
      <c r="C9" s="17" t="s">
        <v>3</v>
      </c>
      <c r="D9" s="17" t="s">
        <v>4</v>
      </c>
      <c r="E9" s="17" t="s">
        <v>5</v>
      </c>
      <c r="F9" s="17" t="s">
        <v>6</v>
      </c>
      <c r="G9" s="18"/>
      <c r="H9" s="19"/>
      <c r="J9" s="30" t="s">
        <v>7</v>
      </c>
      <c r="K9" s="31" t="s">
        <v>8</v>
      </c>
      <c r="L9" s="31" t="s">
        <v>9</v>
      </c>
      <c r="M9" s="31" t="s">
        <v>10</v>
      </c>
      <c r="N9" s="31" t="s">
        <v>11</v>
      </c>
      <c r="O9" s="31" t="s">
        <v>12</v>
      </c>
      <c r="P9" s="31" t="s">
        <v>13</v>
      </c>
      <c r="Q9"/>
    </row>
    <row r="10" spans="2:18" s="21" customFormat="1" ht="18.600000000000001" x14ac:dyDescent="0.3">
      <c r="B10" s="20">
        <v>46000</v>
      </c>
      <c r="C10" s="1">
        <v>148</v>
      </c>
      <c r="D10" s="1">
        <v>27</v>
      </c>
      <c r="E10" s="1">
        <v>18.239999999999998</v>
      </c>
      <c r="F10" s="1">
        <v>117</v>
      </c>
      <c r="G10" s="18"/>
      <c r="H10" s="19"/>
      <c r="J10" s="22" t="s">
        <v>14</v>
      </c>
      <c r="K10" s="32">
        <v>10</v>
      </c>
      <c r="L10" s="23">
        <v>-4</v>
      </c>
      <c r="M10" s="32">
        <v>3</v>
      </c>
      <c r="N10" s="32">
        <v>3</v>
      </c>
      <c r="O10" s="32">
        <v>2</v>
      </c>
      <c r="P10" s="33"/>
      <c r="Q10"/>
    </row>
    <row r="11" spans="2:18" ht="18.600000000000001" x14ac:dyDescent="0.3">
      <c r="B11" s="20">
        <v>46001</v>
      </c>
      <c r="C11" s="1">
        <v>149</v>
      </c>
      <c r="D11" s="1">
        <v>28</v>
      </c>
      <c r="E11" s="1">
        <v>18.79</v>
      </c>
      <c r="F11" s="1">
        <v>117</v>
      </c>
      <c r="G11"/>
      <c r="H11"/>
      <c r="J11" s="24" t="s">
        <v>15</v>
      </c>
      <c r="K11" s="32">
        <v>3</v>
      </c>
      <c r="L11" s="23">
        <v>-3</v>
      </c>
      <c r="M11" s="32"/>
      <c r="N11" s="32"/>
      <c r="O11" s="32"/>
      <c r="P11" s="33">
        <v>1</v>
      </c>
      <c r="Q11"/>
      <c r="R11" s="21"/>
    </row>
    <row r="12" spans="2:18" ht="18.600000000000001" x14ac:dyDescent="0.3">
      <c r="B12" s="20">
        <v>46002</v>
      </c>
      <c r="C12" s="1">
        <v>149</v>
      </c>
      <c r="D12" s="1">
        <v>28</v>
      </c>
      <c r="E12" s="1">
        <v>18.79</v>
      </c>
      <c r="F12" s="1">
        <v>118</v>
      </c>
      <c r="G12"/>
      <c r="H12"/>
      <c r="J12" s="24" t="s">
        <v>16</v>
      </c>
      <c r="K12" s="32">
        <v>4</v>
      </c>
      <c r="L12" s="23">
        <v>-3</v>
      </c>
      <c r="M12" s="32"/>
      <c r="N12" s="32">
        <v>1</v>
      </c>
      <c r="O12" s="32"/>
      <c r="P12" s="33"/>
      <c r="Q12"/>
      <c r="R12" s="21"/>
    </row>
    <row r="13" spans="2:18" ht="18.600000000000001" x14ac:dyDescent="0.3">
      <c r="B13" s="20">
        <v>46020</v>
      </c>
      <c r="C13" s="1">
        <v>148</v>
      </c>
      <c r="D13" s="1">
        <v>34</v>
      </c>
      <c r="E13" s="1">
        <v>22.97</v>
      </c>
      <c r="F13" s="1">
        <v>108</v>
      </c>
      <c r="G13"/>
      <c r="H13"/>
      <c r="J13" s="22" t="s">
        <v>17</v>
      </c>
      <c r="K13" s="32">
        <v>3</v>
      </c>
      <c r="L13" s="23">
        <v>-3</v>
      </c>
      <c r="M13" s="32"/>
      <c r="N13" s="32"/>
      <c r="O13" s="32"/>
      <c r="P13" s="33">
        <v>1</v>
      </c>
      <c r="Q13"/>
      <c r="R13" s="21"/>
    </row>
    <row r="14" spans="2:18" ht="18.600000000000001" x14ac:dyDescent="0.3">
      <c r="B14" s="20">
        <v>46034</v>
      </c>
      <c r="C14" s="1">
        <v>148</v>
      </c>
      <c r="D14" s="1">
        <v>34</v>
      </c>
      <c r="E14" s="1">
        <v>22.97</v>
      </c>
      <c r="F14" s="1">
        <v>108</v>
      </c>
      <c r="G14"/>
      <c r="H14"/>
      <c r="J14" s="22" t="s">
        <v>18</v>
      </c>
      <c r="K14" s="32">
        <v>4</v>
      </c>
      <c r="L14" s="23">
        <v>-3</v>
      </c>
      <c r="M14" s="32"/>
      <c r="N14" s="32">
        <v>1</v>
      </c>
      <c r="O14" s="32"/>
      <c r="P14" s="33">
        <v>1</v>
      </c>
      <c r="Q14"/>
      <c r="R14" s="21"/>
    </row>
    <row r="15" spans="2:18" ht="18.600000000000001" x14ac:dyDescent="0.3">
      <c r="B15" s="20">
        <v>46037</v>
      </c>
      <c r="C15" s="1">
        <v>148</v>
      </c>
      <c r="D15" s="1">
        <v>36</v>
      </c>
      <c r="E15" s="1">
        <v>24.32</v>
      </c>
      <c r="F15" s="1">
        <v>106</v>
      </c>
      <c r="G15"/>
      <c r="H15"/>
      <c r="J15" s="22" t="s">
        <v>19</v>
      </c>
      <c r="K15" s="32">
        <v>5</v>
      </c>
      <c r="L15" s="23">
        <v>-2</v>
      </c>
      <c r="M15" s="32"/>
      <c r="N15" s="32">
        <v>3</v>
      </c>
      <c r="O15" s="32"/>
      <c r="P15" s="33"/>
      <c r="Q15"/>
      <c r="R15" s="21"/>
    </row>
    <row r="16" spans="2:18" ht="18.600000000000001" x14ac:dyDescent="0.3">
      <c r="B16" s="20">
        <v>46049</v>
      </c>
      <c r="C16" s="1">
        <v>149</v>
      </c>
      <c r="D16" s="1">
        <v>37</v>
      </c>
      <c r="E16" s="1">
        <v>24.83</v>
      </c>
      <c r="F16" s="1">
        <v>104</v>
      </c>
      <c r="G16"/>
      <c r="H16"/>
      <c r="J16" s="22" t="s">
        <v>20</v>
      </c>
      <c r="K16" s="32">
        <v>6</v>
      </c>
      <c r="L16" s="23">
        <v>-2</v>
      </c>
      <c r="M16" s="32">
        <v>1</v>
      </c>
      <c r="N16" s="32">
        <v>3</v>
      </c>
      <c r="O16" s="32">
        <v>1</v>
      </c>
      <c r="P16" s="33"/>
      <c r="Q16"/>
      <c r="R16" s="21"/>
    </row>
    <row r="17" spans="2:18" ht="18.600000000000001" x14ac:dyDescent="0.3">
      <c r="B17" s="20">
        <v>46118</v>
      </c>
      <c r="C17" s="1">
        <v>154</v>
      </c>
      <c r="D17" s="1">
        <v>41</v>
      </c>
      <c r="E17" s="1">
        <v>26.62</v>
      </c>
      <c r="F17" s="1">
        <v>104</v>
      </c>
      <c r="G17"/>
      <c r="H17"/>
      <c r="J17" s="24" t="s">
        <v>21</v>
      </c>
      <c r="K17" s="32">
        <v>2</v>
      </c>
      <c r="L17" s="23">
        <v>-1</v>
      </c>
      <c r="M17" s="32">
        <v>1</v>
      </c>
      <c r="N17" s="32"/>
      <c r="O17" s="32">
        <v>1</v>
      </c>
      <c r="P17" s="33"/>
      <c r="Q17"/>
      <c r="R17" s="21"/>
    </row>
    <row r="18" spans="2:18" ht="18.600000000000001" x14ac:dyDescent="0.3">
      <c r="B18" s="20">
        <v>46122</v>
      </c>
      <c r="C18" s="1">
        <v>154</v>
      </c>
      <c r="D18" s="1">
        <v>46</v>
      </c>
      <c r="E18" s="1">
        <v>29.87</v>
      </c>
      <c r="F18" s="1">
        <v>98</v>
      </c>
      <c r="G18"/>
      <c r="H18"/>
      <c r="J18" s="24" t="s">
        <v>22</v>
      </c>
      <c r="K18" s="32">
        <v>1</v>
      </c>
      <c r="L18" s="23">
        <v>-1</v>
      </c>
      <c r="M18" s="32"/>
      <c r="N18" s="32"/>
      <c r="O18" s="32"/>
      <c r="P18" s="33">
        <v>1</v>
      </c>
      <c r="Q18"/>
      <c r="R18" s="21"/>
    </row>
    <row r="19" spans="2:18" ht="18.600000000000001" x14ac:dyDescent="0.3">
      <c r="B19" s="20">
        <v>46133</v>
      </c>
      <c r="C19" s="1">
        <v>153</v>
      </c>
      <c r="D19" s="1">
        <v>53</v>
      </c>
      <c r="E19" s="1">
        <v>34.64</v>
      </c>
      <c r="F19" s="1">
        <v>90</v>
      </c>
      <c r="G19"/>
      <c r="H19"/>
      <c r="J19" s="24" t="s">
        <v>23</v>
      </c>
      <c r="K19" s="32">
        <v>2</v>
      </c>
      <c r="L19" s="23">
        <v>-1</v>
      </c>
      <c r="M19" s="32"/>
      <c r="N19" s="32">
        <v>1</v>
      </c>
      <c r="O19" s="32"/>
      <c r="P19" s="33"/>
      <c r="Q19"/>
      <c r="R19" s="21"/>
    </row>
    <row r="20" spans="2:18" ht="18.600000000000001" x14ac:dyDescent="0.3">
      <c r="B20" s="20">
        <v>46148</v>
      </c>
      <c r="C20" s="1">
        <v>155</v>
      </c>
      <c r="D20" s="1">
        <v>58</v>
      </c>
      <c r="E20" s="1">
        <v>37.42</v>
      </c>
      <c r="F20" s="1">
        <v>82</v>
      </c>
      <c r="G20"/>
      <c r="H20"/>
      <c r="J20" s="22" t="s">
        <v>24</v>
      </c>
      <c r="K20" s="32">
        <v>2</v>
      </c>
      <c r="L20" s="23">
        <v>0</v>
      </c>
      <c r="M20" s="32">
        <v>1</v>
      </c>
      <c r="N20" s="32">
        <v>1</v>
      </c>
      <c r="O20" s="32">
        <v>1</v>
      </c>
      <c r="P20" s="33"/>
      <c r="Q20"/>
      <c r="R20" s="21"/>
    </row>
    <row r="21" spans="2:18" ht="18.600000000000001" x14ac:dyDescent="0.3">
      <c r="B21" s="20">
        <v>46157</v>
      </c>
      <c r="C21" s="1">
        <v>199</v>
      </c>
      <c r="D21" s="1">
        <v>61</v>
      </c>
      <c r="E21" s="1">
        <v>30.65</v>
      </c>
      <c r="F21" s="1">
        <v>120</v>
      </c>
      <c r="G21"/>
      <c r="H21"/>
      <c r="J21" s="22" t="s">
        <v>25</v>
      </c>
      <c r="K21" s="32">
        <v>6</v>
      </c>
      <c r="L21" s="23">
        <v>0</v>
      </c>
      <c r="M21" s="32"/>
      <c r="N21" s="32">
        <v>6</v>
      </c>
      <c r="O21" s="32"/>
      <c r="P21" s="33"/>
      <c r="Q21"/>
      <c r="R21" s="21"/>
    </row>
    <row r="22" spans="2:18" s="21" customFormat="1" ht="18.600000000000001" x14ac:dyDescent="0.3">
      <c r="B22" s="20"/>
      <c r="C22" s="1"/>
      <c r="D22" s="1"/>
      <c r="E22" s="1"/>
      <c r="F22" s="1"/>
      <c r="G22"/>
      <c r="H22"/>
      <c r="J22" s="22" t="s">
        <v>26</v>
      </c>
      <c r="K22" s="32">
        <v>5</v>
      </c>
      <c r="L22" s="23">
        <v>0</v>
      </c>
      <c r="M22" s="32">
        <v>2</v>
      </c>
      <c r="N22" s="32">
        <v>3</v>
      </c>
      <c r="O22" s="32">
        <v>2</v>
      </c>
      <c r="P22" s="33"/>
      <c r="Q22"/>
    </row>
    <row r="23" spans="2:18" ht="18.600000000000001" x14ac:dyDescent="0.3">
      <c r="B23" s="20"/>
      <c r="G23"/>
      <c r="H23"/>
      <c r="I23" s="8"/>
      <c r="J23" s="22" t="s">
        <v>27</v>
      </c>
      <c r="K23" s="32">
        <v>1</v>
      </c>
      <c r="L23" s="23">
        <v>0</v>
      </c>
      <c r="M23" s="32"/>
      <c r="N23" s="32">
        <v>1</v>
      </c>
      <c r="O23" s="32"/>
      <c r="P23" s="33"/>
      <c r="Q23"/>
    </row>
    <row r="24" spans="2:18" ht="18.600000000000001" x14ac:dyDescent="0.3">
      <c r="B24" s="20"/>
      <c r="G24" s="25"/>
      <c r="J24" s="22" t="s">
        <v>28</v>
      </c>
      <c r="K24" s="32">
        <v>1</v>
      </c>
      <c r="L24" s="23">
        <v>0</v>
      </c>
      <c r="M24" s="32"/>
      <c r="N24" s="32">
        <v>1</v>
      </c>
      <c r="O24" s="32"/>
      <c r="P24" s="33">
        <v>1</v>
      </c>
      <c r="Q24"/>
    </row>
    <row r="25" spans="2:18" s="17" customFormat="1" ht="18.600000000000001" x14ac:dyDescent="0.3">
      <c r="B25" s="20"/>
      <c r="C25" s="1"/>
      <c r="D25" s="1"/>
      <c r="E25" s="1"/>
      <c r="F25" s="1"/>
      <c r="G25" s="1"/>
      <c r="H25" s="1"/>
      <c r="J25" s="22" t="s">
        <v>29</v>
      </c>
      <c r="K25" s="32">
        <v>6</v>
      </c>
      <c r="L25" s="23">
        <v>0</v>
      </c>
      <c r="M25" s="32">
        <v>1</v>
      </c>
      <c r="N25" s="32">
        <v>5</v>
      </c>
      <c r="O25" s="32">
        <v>1</v>
      </c>
      <c r="P25" s="33"/>
      <c r="Q25"/>
    </row>
    <row r="26" spans="2:18" s="21" customFormat="1" ht="18.600000000000001" x14ac:dyDescent="0.3">
      <c r="B26" s="1"/>
      <c r="C26" s="1"/>
      <c r="D26" s="1"/>
      <c r="E26" s="1"/>
      <c r="F26" s="1"/>
      <c r="G26" s="17"/>
      <c r="H26" s="17"/>
      <c r="J26" s="22" t="s">
        <v>30</v>
      </c>
      <c r="K26" s="32">
        <v>1</v>
      </c>
      <c r="L26" s="23">
        <v>0</v>
      </c>
      <c r="M26" s="32">
        <v>1</v>
      </c>
      <c r="N26" s="32"/>
      <c r="O26" s="32">
        <v>1</v>
      </c>
      <c r="P26" s="33"/>
      <c r="Q26"/>
    </row>
    <row r="27" spans="2:18" ht="18.600000000000001" x14ac:dyDescent="0.3">
      <c r="G27"/>
      <c r="H27"/>
      <c r="J27" s="22" t="s">
        <v>31</v>
      </c>
      <c r="K27" s="32">
        <v>1</v>
      </c>
      <c r="L27" s="23">
        <v>0</v>
      </c>
      <c r="M27" s="32">
        <v>1</v>
      </c>
      <c r="N27" s="32"/>
      <c r="O27" s="32">
        <v>1</v>
      </c>
      <c r="P27" s="33"/>
      <c r="Q27"/>
    </row>
    <row r="28" spans="2:18" ht="18.600000000000001" x14ac:dyDescent="0.3">
      <c r="B28" s="17"/>
      <c r="C28" s="17"/>
      <c r="D28" s="17"/>
      <c r="E28" s="17"/>
      <c r="F28" s="17"/>
      <c r="G28"/>
      <c r="H28"/>
      <c r="J28" s="22" t="s">
        <v>32</v>
      </c>
      <c r="K28" s="32">
        <v>0</v>
      </c>
      <c r="L28" s="23">
        <v>0</v>
      </c>
      <c r="M28" s="32"/>
      <c r="N28" s="32"/>
      <c r="O28" s="32"/>
      <c r="P28" s="33"/>
      <c r="Q28"/>
    </row>
    <row r="29" spans="2:18" ht="18.600000000000001" x14ac:dyDescent="0.3">
      <c r="B29" s="21"/>
      <c r="C29" s="21"/>
      <c r="D29" s="21"/>
      <c r="E29" s="21"/>
      <c r="F29" s="21"/>
      <c r="G29"/>
      <c r="H29"/>
      <c r="J29" s="22" t="s">
        <v>33</v>
      </c>
      <c r="K29" s="32">
        <v>5</v>
      </c>
      <c r="L29" s="23">
        <v>0</v>
      </c>
      <c r="M29" s="32">
        <v>2</v>
      </c>
      <c r="N29" s="32">
        <v>3</v>
      </c>
      <c r="O29" s="32">
        <v>1</v>
      </c>
      <c r="P29" s="33"/>
      <c r="Q29"/>
    </row>
    <row r="30" spans="2:18" ht="18.600000000000001" x14ac:dyDescent="0.3">
      <c r="G30"/>
      <c r="H30"/>
      <c r="J30" s="22" t="s">
        <v>34</v>
      </c>
      <c r="K30" s="32">
        <v>9</v>
      </c>
      <c r="L30" s="23">
        <v>0</v>
      </c>
      <c r="M30" s="32">
        <v>2</v>
      </c>
      <c r="N30" s="32">
        <v>7</v>
      </c>
      <c r="O30" s="32">
        <v>2</v>
      </c>
      <c r="P30" s="33"/>
      <c r="Q30"/>
    </row>
    <row r="31" spans="2:18" ht="18.600000000000001" x14ac:dyDescent="0.3">
      <c r="G31"/>
      <c r="H31"/>
      <c r="J31" s="22" t="s">
        <v>35</v>
      </c>
      <c r="K31" s="32">
        <v>2</v>
      </c>
      <c r="L31" s="23">
        <v>0</v>
      </c>
      <c r="M31" s="32">
        <v>1</v>
      </c>
      <c r="N31" s="32">
        <v>1</v>
      </c>
      <c r="O31" s="32">
        <v>1</v>
      </c>
      <c r="P31" s="33"/>
      <c r="Q31"/>
    </row>
    <row r="32" spans="2:18" ht="18.600000000000001" x14ac:dyDescent="0.3">
      <c r="G32"/>
      <c r="H32"/>
      <c r="J32" s="22" t="s">
        <v>36</v>
      </c>
      <c r="K32" s="32">
        <v>3</v>
      </c>
      <c r="L32" s="23">
        <v>0</v>
      </c>
      <c r="M32" s="32">
        <v>1</v>
      </c>
      <c r="N32" s="32">
        <v>2</v>
      </c>
      <c r="O32" s="32">
        <v>1</v>
      </c>
      <c r="P32" s="33"/>
      <c r="Q32"/>
    </row>
    <row r="33" spans="2:17" ht="18.600000000000001" x14ac:dyDescent="0.3">
      <c r="C33" s="21"/>
      <c r="D33" s="21"/>
      <c r="G33"/>
      <c r="H33"/>
      <c r="J33" s="22" t="s">
        <v>37</v>
      </c>
      <c r="K33" s="32">
        <v>0</v>
      </c>
      <c r="L33" s="23">
        <v>0</v>
      </c>
      <c r="M33" s="32"/>
      <c r="N33" s="32"/>
      <c r="O33" s="32"/>
      <c r="P33" s="33">
        <v>1</v>
      </c>
      <c r="Q33"/>
    </row>
    <row r="34" spans="2:17" ht="18.600000000000001" x14ac:dyDescent="0.3">
      <c r="G34"/>
      <c r="H34"/>
      <c r="J34" s="22" t="s">
        <v>38</v>
      </c>
      <c r="K34" s="32">
        <v>0</v>
      </c>
      <c r="L34" s="23">
        <v>0</v>
      </c>
      <c r="M34" s="32"/>
      <c r="N34" s="32"/>
      <c r="O34" s="32"/>
      <c r="P34" s="33">
        <v>1</v>
      </c>
      <c r="Q34"/>
    </row>
    <row r="35" spans="2:17" ht="18.600000000000001" x14ac:dyDescent="0.3">
      <c r="G35"/>
      <c r="H35"/>
      <c r="J35" s="22" t="s">
        <v>39</v>
      </c>
      <c r="K35" s="32">
        <v>3</v>
      </c>
      <c r="L35" s="23">
        <v>0</v>
      </c>
      <c r="M35" s="32">
        <v>2</v>
      </c>
      <c r="N35" s="32">
        <v>1</v>
      </c>
      <c r="O35" s="32">
        <v>2</v>
      </c>
      <c r="P35" s="33">
        <v>1</v>
      </c>
      <c r="Q35"/>
    </row>
    <row r="36" spans="2:17" ht="18.600000000000001" x14ac:dyDescent="0.3">
      <c r="G36"/>
      <c r="H36"/>
      <c r="J36" s="22" t="s">
        <v>40</v>
      </c>
      <c r="K36" s="32">
        <v>1</v>
      </c>
      <c r="L36" s="23">
        <v>0</v>
      </c>
      <c r="M36" s="32"/>
      <c r="N36" s="32">
        <v>1</v>
      </c>
      <c r="O36" s="32"/>
      <c r="P36" s="33">
        <v>1</v>
      </c>
      <c r="Q36"/>
    </row>
    <row r="37" spans="2:17" ht="18.600000000000001" x14ac:dyDescent="0.3">
      <c r="G37"/>
      <c r="H37"/>
      <c r="J37" s="22" t="s">
        <v>41</v>
      </c>
      <c r="K37" s="32">
        <v>0</v>
      </c>
      <c r="L37" s="23">
        <v>0</v>
      </c>
      <c r="M37" s="32"/>
      <c r="N37" s="32"/>
      <c r="O37" s="32"/>
      <c r="P37" s="33">
        <v>1</v>
      </c>
      <c r="Q37"/>
    </row>
    <row r="38" spans="2:17" ht="18.600000000000001" x14ac:dyDescent="0.3">
      <c r="G38"/>
      <c r="H38"/>
      <c r="J38" s="22" t="s">
        <v>42</v>
      </c>
      <c r="K38" s="32">
        <v>9</v>
      </c>
      <c r="L38" s="23">
        <v>0</v>
      </c>
      <c r="M38" s="32">
        <v>1</v>
      </c>
      <c r="N38" s="32">
        <v>8</v>
      </c>
      <c r="O38" s="32">
        <v>1</v>
      </c>
      <c r="P38" s="33"/>
      <c r="Q38"/>
    </row>
    <row r="39" spans="2:17" ht="18.600000000000001" x14ac:dyDescent="0.3">
      <c r="G39"/>
      <c r="H39"/>
      <c r="J39" s="22" t="s">
        <v>43</v>
      </c>
      <c r="K39" s="32">
        <v>6</v>
      </c>
      <c r="L39" s="23">
        <v>0</v>
      </c>
      <c r="M39" s="32">
        <v>4</v>
      </c>
      <c r="N39" s="32">
        <v>2</v>
      </c>
      <c r="O39" s="32">
        <v>2</v>
      </c>
      <c r="P39" s="33"/>
      <c r="Q39"/>
    </row>
    <row r="40" spans="2:17" ht="18.600000000000001" x14ac:dyDescent="0.3">
      <c r="J40" s="22" t="s">
        <v>44</v>
      </c>
      <c r="K40" s="32">
        <v>0</v>
      </c>
      <c r="L40" s="23">
        <v>0</v>
      </c>
      <c r="M40" s="32"/>
      <c r="N40" s="32"/>
      <c r="O40" s="32"/>
      <c r="P40" s="33">
        <v>1</v>
      </c>
      <c r="Q40"/>
    </row>
    <row r="41" spans="2:17" ht="18.600000000000001" x14ac:dyDescent="0.3">
      <c r="J41" s="22" t="s">
        <v>45</v>
      </c>
      <c r="K41" s="32">
        <v>2</v>
      </c>
      <c r="L41" s="23">
        <v>0</v>
      </c>
      <c r="M41" s="32">
        <v>2</v>
      </c>
      <c r="N41" s="32"/>
      <c r="O41" s="32">
        <v>2</v>
      </c>
      <c r="P41" s="33"/>
      <c r="Q41"/>
    </row>
    <row r="42" spans="2:17" ht="18.600000000000001" x14ac:dyDescent="0.3">
      <c r="J42" s="22" t="s">
        <v>46</v>
      </c>
      <c r="K42" s="32">
        <v>1</v>
      </c>
      <c r="L42" s="23">
        <v>0</v>
      </c>
      <c r="M42" s="32">
        <v>1</v>
      </c>
      <c r="N42" s="32"/>
      <c r="O42" s="32">
        <v>1</v>
      </c>
      <c r="P42" s="33"/>
      <c r="Q42"/>
    </row>
    <row r="43" spans="2:17" ht="18.600000000000001" x14ac:dyDescent="0.3">
      <c r="J43" s="22" t="s">
        <v>47</v>
      </c>
      <c r="K43" s="32">
        <v>0</v>
      </c>
      <c r="L43" s="23">
        <v>0</v>
      </c>
      <c r="M43" s="32"/>
      <c r="N43" s="32"/>
      <c r="O43" s="32"/>
      <c r="P43" s="33">
        <v>1</v>
      </c>
      <c r="Q43"/>
    </row>
    <row r="44" spans="2:17" ht="18.600000000000001" x14ac:dyDescent="0.3">
      <c r="C44" s="21"/>
      <c r="D44" s="21"/>
      <c r="J44" s="22" t="s">
        <v>48</v>
      </c>
      <c r="K44" s="32">
        <v>1</v>
      </c>
      <c r="L44" s="23">
        <v>0</v>
      </c>
      <c r="M44" s="32"/>
      <c r="N44" s="32">
        <v>1</v>
      </c>
      <c r="O44" s="32"/>
      <c r="P44" s="33"/>
      <c r="Q44"/>
    </row>
    <row r="45" spans="2:17" s="21" customFormat="1" ht="18.600000000000001" x14ac:dyDescent="0.3">
      <c r="B45" s="1"/>
      <c r="C45" s="1"/>
      <c r="D45" s="1"/>
      <c r="E45" s="1"/>
      <c r="F45" s="1"/>
      <c r="G45" s="1"/>
      <c r="H45" s="1"/>
      <c r="J45" s="22" t="s">
        <v>49</v>
      </c>
      <c r="K45" s="32">
        <v>1</v>
      </c>
      <c r="L45" s="23">
        <v>1</v>
      </c>
      <c r="M45" s="32">
        <v>2</v>
      </c>
      <c r="N45" s="32"/>
      <c r="O45" s="32">
        <v>1</v>
      </c>
      <c r="P45" s="33"/>
      <c r="Q45"/>
    </row>
    <row r="46" spans="2:17" ht="18.600000000000001" x14ac:dyDescent="0.3">
      <c r="G46" s="26"/>
      <c r="H46" s="27"/>
      <c r="J46" s="22" t="s">
        <v>50</v>
      </c>
      <c r="K46" s="32">
        <v>5</v>
      </c>
      <c r="L46" s="23">
        <v>1</v>
      </c>
      <c r="M46" s="32">
        <v>2</v>
      </c>
      <c r="N46" s="32">
        <v>4</v>
      </c>
      <c r="O46" s="32">
        <v>1</v>
      </c>
      <c r="P46" s="33"/>
      <c r="Q46"/>
    </row>
    <row r="47" spans="2:17" ht="18.600000000000001" x14ac:dyDescent="0.3">
      <c r="J47" s="22" t="s">
        <v>51</v>
      </c>
      <c r="K47" s="32">
        <v>2</v>
      </c>
      <c r="L47" s="23">
        <v>1</v>
      </c>
      <c r="M47" s="32">
        <v>1</v>
      </c>
      <c r="N47" s="32">
        <v>2</v>
      </c>
      <c r="O47" s="32">
        <v>1</v>
      </c>
      <c r="P47" s="33"/>
      <c r="Q47"/>
    </row>
    <row r="48" spans="2:17" ht="18.600000000000001" x14ac:dyDescent="0.3">
      <c r="B48" s="21"/>
      <c r="E48" s="21"/>
      <c r="F48" s="21"/>
      <c r="J48" s="22" t="s">
        <v>52</v>
      </c>
      <c r="K48" s="32">
        <v>0</v>
      </c>
      <c r="L48" s="23">
        <v>1</v>
      </c>
      <c r="M48" s="32"/>
      <c r="N48" s="32">
        <v>1</v>
      </c>
      <c r="O48" s="32"/>
      <c r="P48" s="33"/>
      <c r="Q48"/>
    </row>
    <row r="49" spans="2:17" ht="18.600000000000001" x14ac:dyDescent="0.3">
      <c r="J49" s="22" t="s">
        <v>53</v>
      </c>
      <c r="K49" s="32">
        <v>0</v>
      </c>
      <c r="L49" s="23">
        <v>1</v>
      </c>
      <c r="M49" s="32"/>
      <c r="N49" s="32">
        <v>1</v>
      </c>
      <c r="O49" s="32"/>
      <c r="P49" s="33"/>
      <c r="Q49"/>
    </row>
    <row r="50" spans="2:17" ht="18.600000000000001" x14ac:dyDescent="0.3">
      <c r="J50" s="22" t="s">
        <v>54</v>
      </c>
      <c r="K50" s="32">
        <v>0</v>
      </c>
      <c r="L50" s="23">
        <v>1</v>
      </c>
      <c r="M50" s="32">
        <v>1</v>
      </c>
      <c r="N50" s="32"/>
      <c r="O50" s="32">
        <v>1</v>
      </c>
      <c r="P50" s="33"/>
      <c r="Q50"/>
    </row>
    <row r="51" spans="2:17" ht="18.600000000000001" x14ac:dyDescent="0.3">
      <c r="J51" s="22" t="s">
        <v>55</v>
      </c>
      <c r="K51" s="32">
        <v>1</v>
      </c>
      <c r="L51" s="23">
        <v>1</v>
      </c>
      <c r="M51" s="32">
        <v>2</v>
      </c>
      <c r="N51" s="32"/>
      <c r="O51" s="32">
        <v>1</v>
      </c>
      <c r="P51" s="33"/>
      <c r="Q51"/>
    </row>
    <row r="52" spans="2:17" ht="18.600000000000001" x14ac:dyDescent="0.3">
      <c r="J52" s="22" t="s">
        <v>56</v>
      </c>
      <c r="K52" s="32">
        <v>0</v>
      </c>
      <c r="L52" s="23">
        <v>1</v>
      </c>
      <c r="M52" s="32">
        <v>1</v>
      </c>
      <c r="N52" s="32"/>
      <c r="O52" s="32">
        <v>1</v>
      </c>
      <c r="P52" s="33"/>
      <c r="Q52"/>
    </row>
    <row r="53" spans="2:17" ht="18.600000000000001" x14ac:dyDescent="0.3">
      <c r="J53" s="22" t="s">
        <v>57</v>
      </c>
      <c r="K53" s="32">
        <v>0</v>
      </c>
      <c r="L53" s="23">
        <v>1</v>
      </c>
      <c r="M53" s="32"/>
      <c r="N53" s="32">
        <v>1</v>
      </c>
      <c r="O53" s="32"/>
      <c r="P53" s="33"/>
      <c r="Q53"/>
    </row>
    <row r="54" spans="2:17" ht="18.600000000000001" x14ac:dyDescent="0.3">
      <c r="J54" s="22" t="s">
        <v>58</v>
      </c>
      <c r="K54" s="32">
        <v>4</v>
      </c>
      <c r="L54" s="23">
        <v>1</v>
      </c>
      <c r="M54" s="32">
        <v>2</v>
      </c>
      <c r="N54" s="32">
        <v>3</v>
      </c>
      <c r="O54" s="32">
        <v>1</v>
      </c>
      <c r="P54" s="33"/>
      <c r="Q54"/>
    </row>
    <row r="55" spans="2:17" ht="18.600000000000001" x14ac:dyDescent="0.3">
      <c r="J55" s="22" t="s">
        <v>59</v>
      </c>
      <c r="K55" s="32">
        <v>0</v>
      </c>
      <c r="L55" s="23">
        <v>1</v>
      </c>
      <c r="M55" s="32"/>
      <c r="N55" s="32">
        <v>1</v>
      </c>
      <c r="O55" s="32"/>
      <c r="P55" s="33"/>
      <c r="Q55"/>
    </row>
    <row r="56" spans="2:17" s="21" customFormat="1" ht="18.600000000000001" x14ac:dyDescent="0.3">
      <c r="B56" s="1"/>
      <c r="C56" s="1"/>
      <c r="D56" s="1"/>
      <c r="E56" s="1"/>
      <c r="F56" s="1"/>
      <c r="G56" s="1"/>
      <c r="H56" s="1"/>
      <c r="J56" s="22" t="s">
        <v>60</v>
      </c>
      <c r="K56" s="32">
        <v>0</v>
      </c>
      <c r="L56" s="23">
        <v>1</v>
      </c>
      <c r="M56" s="32"/>
      <c r="N56" s="32">
        <v>1</v>
      </c>
      <c r="O56" s="32"/>
      <c r="P56" s="33"/>
      <c r="Q56"/>
    </row>
    <row r="57" spans="2:17" ht="18.600000000000001" x14ac:dyDescent="0.3">
      <c r="G57" s="26"/>
      <c r="H57" s="27"/>
      <c r="J57" s="22" t="s">
        <v>61</v>
      </c>
      <c r="K57" s="32">
        <v>0</v>
      </c>
      <c r="L57" s="23">
        <v>1</v>
      </c>
      <c r="M57" s="32"/>
      <c r="N57" s="32">
        <v>1</v>
      </c>
      <c r="O57" s="32"/>
      <c r="P57" s="33">
        <v>1</v>
      </c>
      <c r="Q57"/>
    </row>
    <row r="58" spans="2:17" ht="18.600000000000001" x14ac:dyDescent="0.3">
      <c r="J58" s="22" t="s">
        <v>62</v>
      </c>
      <c r="K58" s="32">
        <v>0</v>
      </c>
      <c r="L58" s="23">
        <v>1</v>
      </c>
      <c r="M58" s="32"/>
      <c r="N58" s="32">
        <v>1</v>
      </c>
      <c r="O58" s="32"/>
      <c r="P58" s="33"/>
      <c r="Q58"/>
    </row>
    <row r="59" spans="2:17" ht="18.600000000000001" x14ac:dyDescent="0.3">
      <c r="B59" s="21"/>
      <c r="E59" s="21"/>
      <c r="F59" s="21"/>
      <c r="J59" s="22" t="s">
        <v>63</v>
      </c>
      <c r="K59" s="32">
        <v>0</v>
      </c>
      <c r="L59" s="23">
        <v>1</v>
      </c>
      <c r="M59" s="32">
        <v>1</v>
      </c>
      <c r="N59" s="32"/>
      <c r="O59" s="32">
        <v>1</v>
      </c>
      <c r="P59" s="33">
        <v>1</v>
      </c>
      <c r="Q59"/>
    </row>
    <row r="60" spans="2:17" ht="18.600000000000001" x14ac:dyDescent="0.3">
      <c r="J60" s="22" t="s">
        <v>64</v>
      </c>
      <c r="K60" s="32">
        <v>0</v>
      </c>
      <c r="L60" s="23">
        <v>1</v>
      </c>
      <c r="M60" s="32">
        <v>1</v>
      </c>
      <c r="N60" s="32"/>
      <c r="O60" s="32">
        <v>1</v>
      </c>
      <c r="P60" s="33"/>
      <c r="Q60"/>
    </row>
    <row r="61" spans="2:17" ht="18.600000000000001" x14ac:dyDescent="0.3">
      <c r="J61" s="22" t="s">
        <v>65</v>
      </c>
      <c r="K61" s="32">
        <v>3</v>
      </c>
      <c r="L61" s="23">
        <v>1</v>
      </c>
      <c r="M61" s="32">
        <v>1</v>
      </c>
      <c r="N61" s="32">
        <v>3</v>
      </c>
      <c r="O61" s="32">
        <v>1</v>
      </c>
      <c r="P61" s="33"/>
      <c r="Q61"/>
    </row>
    <row r="62" spans="2:17" ht="18.600000000000001" x14ac:dyDescent="0.3">
      <c r="J62" s="22" t="s">
        <v>66</v>
      </c>
      <c r="K62" s="32">
        <v>0</v>
      </c>
      <c r="L62" s="23">
        <v>1</v>
      </c>
      <c r="M62" s="32">
        <v>1</v>
      </c>
      <c r="N62" s="32"/>
      <c r="O62" s="32">
        <v>1</v>
      </c>
      <c r="P62" s="33"/>
      <c r="Q62"/>
    </row>
    <row r="63" spans="2:17" ht="18.600000000000001" x14ac:dyDescent="0.3">
      <c r="C63" s="21"/>
      <c r="D63" s="21"/>
      <c r="J63" s="22" t="s">
        <v>67</v>
      </c>
      <c r="K63" s="32">
        <v>0</v>
      </c>
      <c r="L63" s="23">
        <v>1</v>
      </c>
      <c r="M63" s="32">
        <v>1</v>
      </c>
      <c r="N63" s="32"/>
      <c r="O63" s="32">
        <v>1</v>
      </c>
      <c r="P63" s="33"/>
      <c r="Q63"/>
    </row>
    <row r="64" spans="2:17" ht="18.600000000000001" x14ac:dyDescent="0.3">
      <c r="J64" s="22" t="s">
        <v>68</v>
      </c>
      <c r="K64" s="32">
        <v>0</v>
      </c>
      <c r="L64" s="23">
        <v>1</v>
      </c>
      <c r="M64" s="32"/>
      <c r="N64" s="32">
        <v>1</v>
      </c>
      <c r="O64" s="32"/>
      <c r="P64" s="33"/>
      <c r="Q64"/>
    </row>
    <row r="65" spans="2:17" ht="18.600000000000001" x14ac:dyDescent="0.3">
      <c r="C65" s="21"/>
      <c r="D65" s="21"/>
      <c r="J65" s="22" t="s">
        <v>69</v>
      </c>
      <c r="K65" s="32">
        <v>0</v>
      </c>
      <c r="L65" s="23">
        <v>1</v>
      </c>
      <c r="M65" s="32"/>
      <c r="N65" s="32">
        <v>1</v>
      </c>
      <c r="O65" s="32"/>
      <c r="P65" s="33"/>
      <c r="Q65"/>
    </row>
    <row r="66" spans="2:17" ht="18.600000000000001" x14ac:dyDescent="0.3">
      <c r="J66" s="22" t="s">
        <v>70</v>
      </c>
      <c r="K66" s="32">
        <v>0</v>
      </c>
      <c r="L66" s="23">
        <v>1</v>
      </c>
      <c r="M66" s="32"/>
      <c r="N66" s="32">
        <v>1</v>
      </c>
      <c r="O66" s="32"/>
      <c r="P66" s="33"/>
      <c r="Q66"/>
    </row>
    <row r="67" spans="2:17" ht="18.600000000000001" x14ac:dyDescent="0.3">
      <c r="J67" s="22" t="s">
        <v>71</v>
      </c>
      <c r="K67" s="32">
        <v>0</v>
      </c>
      <c r="L67" s="23">
        <v>1</v>
      </c>
      <c r="M67" s="32"/>
      <c r="N67" s="32">
        <v>1</v>
      </c>
      <c r="O67" s="32"/>
      <c r="P67" s="33"/>
      <c r="Q67"/>
    </row>
    <row r="68" spans="2:17" ht="18.600000000000001" x14ac:dyDescent="0.3">
      <c r="J68" s="22" t="s">
        <v>72</v>
      </c>
      <c r="K68" s="32">
        <v>0</v>
      </c>
      <c r="L68" s="23">
        <v>1</v>
      </c>
      <c r="M68" s="32">
        <v>1</v>
      </c>
      <c r="N68" s="32"/>
      <c r="O68" s="32">
        <v>1</v>
      </c>
      <c r="P68" s="33"/>
      <c r="Q68"/>
    </row>
    <row r="69" spans="2:17" ht="18.600000000000001" x14ac:dyDescent="0.3">
      <c r="J69" s="22" t="s">
        <v>73</v>
      </c>
      <c r="K69" s="32">
        <v>1</v>
      </c>
      <c r="L69" s="23">
        <v>2</v>
      </c>
      <c r="M69" s="32">
        <v>3</v>
      </c>
      <c r="N69" s="32"/>
      <c r="O69" s="32">
        <v>1</v>
      </c>
      <c r="P69" s="33"/>
      <c r="Q69"/>
    </row>
    <row r="70" spans="2:17" ht="18.600000000000001" x14ac:dyDescent="0.3">
      <c r="J70" s="22" t="s">
        <v>74</v>
      </c>
      <c r="K70" s="32">
        <v>0</v>
      </c>
      <c r="L70" s="23">
        <v>2</v>
      </c>
      <c r="M70" s="32"/>
      <c r="N70" s="32">
        <v>2</v>
      </c>
      <c r="O70" s="32"/>
      <c r="P70" s="33"/>
      <c r="Q70"/>
    </row>
    <row r="71" spans="2:17" ht="18.600000000000001" x14ac:dyDescent="0.3">
      <c r="J71" s="22" t="s">
        <v>75</v>
      </c>
      <c r="K71" s="32">
        <v>0</v>
      </c>
      <c r="L71" s="23">
        <v>2</v>
      </c>
      <c r="M71" s="32">
        <v>1</v>
      </c>
      <c r="N71" s="32">
        <v>1</v>
      </c>
      <c r="O71" s="32">
        <v>1</v>
      </c>
      <c r="P71" s="33"/>
      <c r="Q71"/>
    </row>
    <row r="72" spans="2:17" ht="18.600000000000001" x14ac:dyDescent="0.3">
      <c r="J72" s="22" t="s">
        <v>76</v>
      </c>
      <c r="K72" s="32">
        <v>0</v>
      </c>
      <c r="L72" s="23">
        <v>2</v>
      </c>
      <c r="M72" s="32"/>
      <c r="N72" s="32">
        <v>2</v>
      </c>
      <c r="O72" s="32"/>
      <c r="P72" s="33"/>
      <c r="Q72"/>
    </row>
    <row r="73" spans="2:17" ht="18.600000000000001" x14ac:dyDescent="0.3">
      <c r="J73" s="22" t="s">
        <v>77</v>
      </c>
      <c r="K73" s="32">
        <v>0</v>
      </c>
      <c r="L73" s="23">
        <v>2</v>
      </c>
      <c r="M73" s="32"/>
      <c r="N73" s="32">
        <v>2</v>
      </c>
      <c r="O73" s="32"/>
      <c r="P73" s="33"/>
      <c r="Q73"/>
    </row>
    <row r="74" spans="2:17" ht="18.600000000000001" x14ac:dyDescent="0.3">
      <c r="J74" s="22" t="s">
        <v>78</v>
      </c>
      <c r="K74" s="32">
        <v>0</v>
      </c>
      <c r="L74" s="23">
        <v>2</v>
      </c>
      <c r="M74" s="32">
        <v>2</v>
      </c>
      <c r="N74" s="32"/>
      <c r="O74" s="32">
        <v>1</v>
      </c>
      <c r="P74" s="33"/>
      <c r="Q74"/>
    </row>
    <row r="75" spans="2:17" s="21" customFormat="1" ht="18.600000000000001" x14ac:dyDescent="0.3">
      <c r="B75" s="1"/>
      <c r="C75" s="1"/>
      <c r="D75" s="1"/>
      <c r="E75" s="1"/>
      <c r="F75" s="1"/>
      <c r="G75" s="1"/>
      <c r="H75" s="1"/>
      <c r="J75" s="22" t="s">
        <v>79</v>
      </c>
      <c r="K75" s="32">
        <v>0</v>
      </c>
      <c r="L75" s="23">
        <v>2</v>
      </c>
      <c r="M75" s="32">
        <v>1</v>
      </c>
      <c r="N75" s="32">
        <v>1</v>
      </c>
      <c r="O75" s="32">
        <v>1</v>
      </c>
      <c r="P75" s="33"/>
      <c r="Q75"/>
    </row>
    <row r="76" spans="2:17" ht="18.600000000000001" x14ac:dyDescent="0.3">
      <c r="C76" s="21"/>
      <c r="D76" s="21"/>
      <c r="G76" s="26"/>
      <c r="H76" s="27"/>
      <c r="J76" s="22" t="s">
        <v>80</v>
      </c>
      <c r="K76" s="32">
        <v>0</v>
      </c>
      <c r="L76" s="23">
        <v>2</v>
      </c>
      <c r="M76" s="32"/>
      <c r="N76" s="32">
        <v>2</v>
      </c>
      <c r="O76" s="32"/>
      <c r="P76" s="33"/>
      <c r="Q76"/>
    </row>
    <row r="77" spans="2:17" s="21" customFormat="1" ht="18.600000000000001" x14ac:dyDescent="0.3">
      <c r="B77" s="1"/>
      <c r="C77" s="1"/>
      <c r="D77" s="1"/>
      <c r="E77" s="1"/>
      <c r="F77" s="1"/>
      <c r="G77" s="1"/>
      <c r="H77" s="1"/>
      <c r="J77" s="22" t="s">
        <v>81</v>
      </c>
      <c r="K77" s="32">
        <v>2</v>
      </c>
      <c r="L77" s="23">
        <v>2</v>
      </c>
      <c r="M77" s="32">
        <v>2</v>
      </c>
      <c r="N77" s="32">
        <v>2</v>
      </c>
      <c r="O77" s="32">
        <v>2</v>
      </c>
      <c r="P77" s="33"/>
      <c r="Q77"/>
    </row>
    <row r="78" spans="2:17" ht="18.600000000000001" x14ac:dyDescent="0.3">
      <c r="B78" s="21"/>
      <c r="E78" s="21"/>
      <c r="F78" s="21"/>
      <c r="G78" s="26"/>
      <c r="H78" s="27"/>
      <c r="J78" s="22" t="s">
        <v>82</v>
      </c>
      <c r="K78" s="32">
        <v>0</v>
      </c>
      <c r="L78" s="23">
        <v>2</v>
      </c>
      <c r="M78" s="32">
        <v>1</v>
      </c>
      <c r="N78" s="32">
        <v>1</v>
      </c>
      <c r="O78" s="32">
        <v>1</v>
      </c>
      <c r="P78" s="33"/>
      <c r="Q78"/>
    </row>
    <row r="79" spans="2:17" ht="18.600000000000001" x14ac:dyDescent="0.3">
      <c r="J79" s="22" t="s">
        <v>83</v>
      </c>
      <c r="K79" s="32">
        <v>1</v>
      </c>
      <c r="L79" s="23">
        <v>2</v>
      </c>
      <c r="M79" s="32">
        <v>2</v>
      </c>
      <c r="N79" s="32">
        <v>1</v>
      </c>
      <c r="O79" s="32">
        <v>1</v>
      </c>
      <c r="P79" s="33"/>
      <c r="Q79"/>
    </row>
    <row r="80" spans="2:17" ht="18.600000000000001" x14ac:dyDescent="0.3">
      <c r="B80" s="21"/>
      <c r="E80" s="21"/>
      <c r="F80" s="21"/>
      <c r="J80" s="22" t="s">
        <v>84</v>
      </c>
      <c r="K80" s="32">
        <v>0</v>
      </c>
      <c r="L80" s="23">
        <v>2</v>
      </c>
      <c r="M80" s="32"/>
      <c r="N80" s="32">
        <v>2</v>
      </c>
      <c r="O80" s="32"/>
      <c r="P80" s="33">
        <v>1</v>
      </c>
      <c r="Q80"/>
    </row>
    <row r="81" spans="2:17" ht="18.600000000000001" x14ac:dyDescent="0.3">
      <c r="J81" s="22" t="s">
        <v>85</v>
      </c>
      <c r="K81" s="32">
        <v>0</v>
      </c>
      <c r="L81" s="23">
        <v>2</v>
      </c>
      <c r="M81" s="32"/>
      <c r="N81" s="32">
        <v>2</v>
      </c>
      <c r="O81" s="32"/>
      <c r="P81" s="33"/>
      <c r="Q81"/>
    </row>
    <row r="82" spans="2:17" ht="18.600000000000001" x14ac:dyDescent="0.3">
      <c r="J82" s="22" t="s">
        <v>86</v>
      </c>
      <c r="K82" s="32">
        <v>2</v>
      </c>
      <c r="L82" s="23">
        <v>2</v>
      </c>
      <c r="M82" s="32"/>
      <c r="N82" s="32">
        <v>4</v>
      </c>
      <c r="O82" s="32"/>
      <c r="P82" s="33"/>
      <c r="Q82"/>
    </row>
    <row r="83" spans="2:17" ht="18.600000000000001" x14ac:dyDescent="0.3">
      <c r="J83" s="22" t="s">
        <v>87</v>
      </c>
      <c r="K83" s="32">
        <v>0</v>
      </c>
      <c r="L83" s="23">
        <v>2</v>
      </c>
      <c r="M83" s="32">
        <v>1</v>
      </c>
      <c r="N83" s="32">
        <v>1</v>
      </c>
      <c r="O83" s="32">
        <v>1</v>
      </c>
      <c r="P83" s="33"/>
      <c r="Q83"/>
    </row>
    <row r="84" spans="2:17" ht="18.600000000000001" x14ac:dyDescent="0.3">
      <c r="C84" s="21"/>
      <c r="D84" s="21"/>
      <c r="J84" s="22" t="s">
        <v>88</v>
      </c>
      <c r="K84" s="32">
        <v>1</v>
      </c>
      <c r="L84" s="23">
        <v>2</v>
      </c>
      <c r="M84" s="32">
        <v>1</v>
      </c>
      <c r="N84" s="32">
        <v>2</v>
      </c>
      <c r="O84" s="32">
        <v>1</v>
      </c>
      <c r="P84" s="33"/>
      <c r="Q84"/>
    </row>
    <row r="85" spans="2:17" ht="18.600000000000001" x14ac:dyDescent="0.3">
      <c r="J85" s="22" t="s">
        <v>89</v>
      </c>
      <c r="K85" s="32">
        <v>1</v>
      </c>
      <c r="L85" s="23">
        <v>2</v>
      </c>
      <c r="M85" s="32">
        <v>1</v>
      </c>
      <c r="N85" s="32">
        <v>2</v>
      </c>
      <c r="O85" s="32">
        <v>1</v>
      </c>
      <c r="P85" s="33"/>
      <c r="Q85"/>
    </row>
    <row r="86" spans="2:17" ht="18.600000000000001" x14ac:dyDescent="0.3">
      <c r="J86" s="22" t="s">
        <v>90</v>
      </c>
      <c r="K86" s="32">
        <v>0</v>
      </c>
      <c r="L86" s="23">
        <v>3</v>
      </c>
      <c r="M86" s="32"/>
      <c r="N86" s="32">
        <v>3</v>
      </c>
      <c r="O86" s="32"/>
      <c r="P86" s="33"/>
      <c r="Q86"/>
    </row>
    <row r="87" spans="2:17" ht="18.600000000000001" x14ac:dyDescent="0.3">
      <c r="J87" s="22" t="s">
        <v>91</v>
      </c>
      <c r="K87" s="32">
        <v>0</v>
      </c>
      <c r="L87" s="23">
        <v>3</v>
      </c>
      <c r="M87" s="32"/>
      <c r="N87" s="32">
        <v>3</v>
      </c>
      <c r="O87" s="32"/>
      <c r="P87" s="33"/>
      <c r="Q87"/>
    </row>
    <row r="88" spans="2:17" s="21" customFormat="1" ht="18.600000000000001" x14ac:dyDescent="0.3">
      <c r="B88" s="1"/>
      <c r="C88" s="1"/>
      <c r="D88" s="1"/>
      <c r="E88" s="1"/>
      <c r="F88" s="1"/>
      <c r="G88" s="1"/>
      <c r="H88" s="1"/>
      <c r="J88" s="22" t="s">
        <v>92</v>
      </c>
      <c r="K88" s="32">
        <v>0</v>
      </c>
      <c r="L88" s="23">
        <v>3</v>
      </c>
      <c r="M88" s="32"/>
      <c r="N88" s="32">
        <v>3</v>
      </c>
      <c r="O88" s="32"/>
      <c r="P88" s="33"/>
      <c r="Q88"/>
    </row>
    <row r="89" spans="2:17" ht="18.600000000000001" x14ac:dyDescent="0.3">
      <c r="G89" s="26"/>
      <c r="H89" s="27"/>
      <c r="J89" s="22" t="s">
        <v>93</v>
      </c>
      <c r="K89" s="32">
        <v>0</v>
      </c>
      <c r="L89" s="23">
        <v>3</v>
      </c>
      <c r="M89" s="32">
        <v>1</v>
      </c>
      <c r="N89" s="32">
        <v>2</v>
      </c>
      <c r="O89" s="32">
        <v>1</v>
      </c>
      <c r="P89" s="33"/>
      <c r="Q89"/>
    </row>
    <row r="90" spans="2:17" ht="18.600000000000001" x14ac:dyDescent="0.3">
      <c r="J90" s="22" t="s">
        <v>94</v>
      </c>
      <c r="K90" s="32">
        <v>0</v>
      </c>
      <c r="L90" s="23">
        <v>5</v>
      </c>
      <c r="M90" s="32">
        <v>1</v>
      </c>
      <c r="N90" s="32">
        <v>4</v>
      </c>
      <c r="O90" s="32">
        <v>1</v>
      </c>
      <c r="P90" s="33"/>
      <c r="Q90"/>
    </row>
    <row r="91" spans="2:17" ht="15.6" x14ac:dyDescent="0.3">
      <c r="B91" s="21"/>
      <c r="E91" s="21"/>
      <c r="F91" s="21"/>
      <c r="J91" s="28" t="s">
        <v>95</v>
      </c>
      <c r="K91" s="34">
        <v>129</v>
      </c>
      <c r="L91" s="29">
        <v>52</v>
      </c>
      <c r="M91" s="34">
        <v>61</v>
      </c>
      <c r="N91" s="34">
        <v>120</v>
      </c>
      <c r="O91" s="34">
        <v>49</v>
      </c>
      <c r="P91" s="34">
        <v>15</v>
      </c>
      <c r="Q91"/>
    </row>
    <row r="92" spans="2:17" ht="18.600000000000001" x14ac:dyDescent="0.3">
      <c r="J92"/>
      <c r="K92"/>
      <c r="L92"/>
      <c r="M92"/>
      <c r="N92"/>
      <c r="O92"/>
      <c r="P92"/>
      <c r="Q92"/>
    </row>
    <row r="93" spans="2:17" ht="15.6" x14ac:dyDescent="0.3">
      <c r="J93"/>
      <c r="K93"/>
      <c r="L93"/>
      <c r="M93"/>
      <c r="N93"/>
      <c r="O93"/>
      <c r="P93"/>
      <c r="Q93"/>
    </row>
    <row r="94" spans="2:17" ht="14.4" x14ac:dyDescent="0.3">
      <c r="J94"/>
      <c r="K94"/>
      <c r="L94"/>
      <c r="M94"/>
      <c r="N94"/>
      <c r="O94"/>
      <c r="P94"/>
      <c r="Q94"/>
    </row>
    <row r="95" spans="2:17" ht="14.4" x14ac:dyDescent="0.3">
      <c r="C95" s="21"/>
      <c r="D95" s="21"/>
      <c r="J95"/>
      <c r="K95"/>
      <c r="L95"/>
      <c r="M95"/>
      <c r="N95"/>
      <c r="O95"/>
      <c r="P95"/>
      <c r="Q95"/>
    </row>
    <row r="96" spans="2:17" s="21" customFormat="1" ht="14.4" x14ac:dyDescent="0.3">
      <c r="B96" s="1"/>
      <c r="C96" s="1"/>
      <c r="D96" s="1"/>
      <c r="E96" s="1"/>
      <c r="F96" s="1"/>
      <c r="G96" s="1"/>
      <c r="H96" s="1"/>
      <c r="J96"/>
      <c r="K96"/>
      <c r="L96"/>
      <c r="M96"/>
      <c r="N96"/>
      <c r="O96"/>
      <c r="P96"/>
      <c r="Q96"/>
    </row>
    <row r="97" spans="2:17" ht="14.4" x14ac:dyDescent="0.3">
      <c r="G97" s="26"/>
      <c r="H97" s="27"/>
      <c r="J97"/>
      <c r="K97"/>
      <c r="L97"/>
      <c r="M97"/>
      <c r="N97"/>
      <c r="O97"/>
      <c r="P97"/>
      <c r="Q97"/>
    </row>
    <row r="98" spans="2:17" ht="14.4" x14ac:dyDescent="0.3">
      <c r="J98"/>
      <c r="K98"/>
      <c r="L98"/>
      <c r="M98"/>
      <c r="N98"/>
      <c r="O98"/>
      <c r="P98"/>
      <c r="Q98"/>
    </row>
    <row r="99" spans="2:17" ht="14.4" x14ac:dyDescent="0.3">
      <c r="B99" s="21"/>
      <c r="E99" s="21"/>
      <c r="F99" s="21"/>
      <c r="J99"/>
      <c r="K99"/>
      <c r="L99"/>
      <c r="M99"/>
      <c r="N99"/>
      <c r="O99"/>
      <c r="P99"/>
      <c r="Q99"/>
    </row>
    <row r="100" spans="2:17" ht="14.4" x14ac:dyDescent="0.3">
      <c r="J100"/>
      <c r="K100"/>
      <c r="L100"/>
      <c r="M100"/>
      <c r="N100"/>
      <c r="O100"/>
      <c r="P100"/>
      <c r="Q100"/>
    </row>
    <row r="101" spans="2:17" ht="14.4" x14ac:dyDescent="0.3">
      <c r="J101"/>
      <c r="K101"/>
      <c r="L101"/>
      <c r="M101"/>
      <c r="N101"/>
      <c r="O101"/>
      <c r="P101"/>
      <c r="Q101"/>
    </row>
    <row r="102" spans="2:17" ht="14.4" x14ac:dyDescent="0.3">
      <c r="J102"/>
      <c r="K102"/>
      <c r="L102"/>
      <c r="M102"/>
      <c r="N102"/>
      <c r="O102"/>
      <c r="P102"/>
      <c r="Q102"/>
    </row>
    <row r="103" spans="2:17" ht="14.4" x14ac:dyDescent="0.3">
      <c r="J103"/>
      <c r="K103"/>
      <c r="L103"/>
      <c r="M103"/>
      <c r="N103"/>
      <c r="O103"/>
      <c r="P103"/>
      <c r="Q103"/>
    </row>
    <row r="104" spans="2:17" ht="14.4" x14ac:dyDescent="0.3">
      <c r="C104" s="21"/>
      <c r="D104" s="21"/>
      <c r="J104"/>
      <c r="K104"/>
      <c r="L104"/>
      <c r="M104"/>
      <c r="N104"/>
      <c r="O104"/>
      <c r="P104"/>
      <c r="Q104"/>
    </row>
    <row r="105" spans="2:17" ht="14.4" x14ac:dyDescent="0.3">
      <c r="J105"/>
      <c r="K105"/>
      <c r="L105"/>
      <c r="M105"/>
      <c r="N105"/>
      <c r="O105"/>
      <c r="P105"/>
      <c r="Q105"/>
    </row>
    <row r="106" spans="2:17" ht="14.4" x14ac:dyDescent="0.3">
      <c r="J106"/>
      <c r="K106"/>
      <c r="L106"/>
      <c r="M106"/>
      <c r="N106"/>
      <c r="O106"/>
      <c r="P106"/>
      <c r="Q106"/>
    </row>
    <row r="107" spans="2:17" s="21" customFormat="1" ht="14.4" x14ac:dyDescent="0.3">
      <c r="B107" s="1"/>
      <c r="C107" s="1"/>
      <c r="D107" s="1"/>
      <c r="E107" s="1"/>
      <c r="F107" s="1"/>
      <c r="G107" s="1"/>
      <c r="H107" s="1"/>
      <c r="J107"/>
      <c r="K107"/>
      <c r="L107"/>
      <c r="M107"/>
      <c r="N107"/>
      <c r="O107"/>
      <c r="P107"/>
      <c r="Q107"/>
    </row>
    <row r="108" spans="2:17" ht="14.4" x14ac:dyDescent="0.3">
      <c r="G108" s="26"/>
      <c r="H108" s="27"/>
      <c r="J108"/>
      <c r="K108"/>
      <c r="L108"/>
      <c r="M108"/>
      <c r="N108"/>
      <c r="O108"/>
      <c r="P108"/>
      <c r="Q108"/>
    </row>
    <row r="109" spans="2:17" ht="14.4" x14ac:dyDescent="0.3">
      <c r="J109"/>
      <c r="K109"/>
      <c r="L109"/>
      <c r="M109"/>
      <c r="N109"/>
      <c r="O109"/>
      <c r="P109"/>
      <c r="Q109"/>
    </row>
    <row r="110" spans="2:17" ht="14.4" x14ac:dyDescent="0.3">
      <c r="B110" s="21"/>
      <c r="E110" s="21"/>
      <c r="F110" s="21"/>
      <c r="J110"/>
      <c r="K110"/>
      <c r="L110"/>
      <c r="M110"/>
      <c r="N110"/>
      <c r="O110"/>
      <c r="P110"/>
      <c r="Q110"/>
    </row>
    <row r="111" spans="2:17" ht="14.4" x14ac:dyDescent="0.3">
      <c r="J111"/>
      <c r="K111"/>
      <c r="L111"/>
      <c r="M111"/>
      <c r="N111"/>
      <c r="O111"/>
      <c r="P111"/>
      <c r="Q111"/>
    </row>
    <row r="112" spans="2:17" ht="14.4" x14ac:dyDescent="0.3">
      <c r="J112"/>
      <c r="K112"/>
      <c r="L112"/>
      <c r="M112"/>
      <c r="N112"/>
      <c r="O112"/>
      <c r="P112"/>
      <c r="Q112"/>
    </row>
    <row r="113" spans="2:17" ht="14.4" x14ac:dyDescent="0.3">
      <c r="J113"/>
      <c r="K113"/>
      <c r="L113"/>
      <c r="M113"/>
      <c r="N113"/>
      <c r="O113"/>
      <c r="P113"/>
      <c r="Q113"/>
    </row>
    <row r="114" spans="2:17" ht="14.4" x14ac:dyDescent="0.3">
      <c r="J114"/>
      <c r="K114"/>
      <c r="L114"/>
      <c r="M114"/>
      <c r="N114"/>
      <c r="O114"/>
      <c r="P114"/>
      <c r="Q114"/>
    </row>
    <row r="115" spans="2:17" ht="14.4" x14ac:dyDescent="0.3">
      <c r="J115"/>
      <c r="K115"/>
      <c r="L115"/>
      <c r="M115"/>
      <c r="N115"/>
      <c r="O115"/>
      <c r="P115"/>
      <c r="Q115"/>
    </row>
    <row r="116" spans="2:17" s="21" customFormat="1" ht="14.4" x14ac:dyDescent="0.3">
      <c r="B116" s="1"/>
      <c r="C116" s="1"/>
      <c r="D116" s="1"/>
      <c r="E116" s="1"/>
      <c r="F116" s="1"/>
      <c r="G116" s="1"/>
      <c r="H116" s="1"/>
      <c r="J116"/>
      <c r="K116"/>
      <c r="L116"/>
      <c r="M116"/>
      <c r="N116"/>
      <c r="O116"/>
      <c r="P116"/>
      <c r="Q116"/>
    </row>
    <row r="117" spans="2:17" ht="14.4" x14ac:dyDescent="0.3">
      <c r="G117" s="26"/>
      <c r="H117" s="27"/>
      <c r="J117"/>
      <c r="K117"/>
      <c r="L117"/>
      <c r="M117"/>
      <c r="N117"/>
      <c r="O117"/>
      <c r="P117"/>
      <c r="Q117"/>
    </row>
    <row r="118" spans="2:17" ht="14.4" x14ac:dyDescent="0.3">
      <c r="J118"/>
      <c r="K118"/>
      <c r="L118"/>
      <c r="M118"/>
      <c r="N118"/>
      <c r="O118"/>
      <c r="P118"/>
      <c r="Q118"/>
    </row>
    <row r="119" spans="2:17" ht="14.4" x14ac:dyDescent="0.3">
      <c r="B119" s="21"/>
      <c r="E119" s="21"/>
      <c r="F119" s="21"/>
      <c r="J119"/>
      <c r="K119"/>
      <c r="L119"/>
      <c r="M119"/>
      <c r="N119"/>
      <c r="O119"/>
      <c r="P119"/>
      <c r="Q119"/>
    </row>
    <row r="120" spans="2:17" ht="14.4" x14ac:dyDescent="0.3">
      <c r="J120"/>
      <c r="K120"/>
      <c r="L120"/>
      <c r="M120"/>
      <c r="N120"/>
      <c r="O120"/>
      <c r="P120"/>
      <c r="Q120"/>
    </row>
    <row r="121" spans="2:17" ht="14.4" x14ac:dyDescent="0.3">
      <c r="J121"/>
      <c r="K121"/>
      <c r="L121"/>
      <c r="M121"/>
      <c r="N121"/>
      <c r="O121"/>
      <c r="P121"/>
      <c r="Q121"/>
    </row>
    <row r="122" spans="2:17" ht="14.4" x14ac:dyDescent="0.3">
      <c r="J122"/>
      <c r="K122"/>
      <c r="L122"/>
      <c r="M122"/>
      <c r="N122"/>
      <c r="O122"/>
      <c r="P122"/>
      <c r="Q122"/>
    </row>
    <row r="123" spans="2:17" ht="14.4" x14ac:dyDescent="0.3">
      <c r="J123"/>
      <c r="K123"/>
      <c r="L123"/>
      <c r="M123"/>
      <c r="N123"/>
      <c r="O123"/>
      <c r="P123"/>
      <c r="Q123"/>
    </row>
    <row r="124" spans="2:17" ht="14.4" x14ac:dyDescent="0.3">
      <c r="J124"/>
      <c r="K124"/>
      <c r="L124"/>
      <c r="M124"/>
      <c r="N124"/>
      <c r="O124"/>
      <c r="P124"/>
      <c r="Q124"/>
    </row>
    <row r="125" spans="2:17" ht="14.4" x14ac:dyDescent="0.3">
      <c r="J125"/>
      <c r="K125"/>
      <c r="L125"/>
      <c r="M125"/>
      <c r="N125"/>
      <c r="O125"/>
      <c r="P125"/>
      <c r="Q125"/>
    </row>
    <row r="126" spans="2:17" ht="14.4" x14ac:dyDescent="0.3">
      <c r="J126"/>
      <c r="K126"/>
      <c r="L126"/>
      <c r="M126"/>
      <c r="N126"/>
      <c r="O126"/>
      <c r="P126"/>
      <c r="Q126"/>
    </row>
    <row r="127" spans="2:17" ht="14.4" x14ac:dyDescent="0.3">
      <c r="J127"/>
      <c r="K127"/>
      <c r="L127"/>
      <c r="M127"/>
      <c r="N127"/>
      <c r="O127"/>
      <c r="P127"/>
      <c r="Q127"/>
    </row>
    <row r="128" spans="2:17" ht="14.4" x14ac:dyDescent="0.3">
      <c r="J128"/>
      <c r="K128"/>
      <c r="L128"/>
      <c r="M128"/>
      <c r="N128"/>
      <c r="O128"/>
      <c r="P128"/>
      <c r="Q128"/>
    </row>
    <row r="129" spans="7:17" ht="14.4" x14ac:dyDescent="0.3">
      <c r="J129"/>
      <c r="K129"/>
      <c r="L129"/>
      <c r="M129"/>
      <c r="N129"/>
      <c r="O129"/>
      <c r="P129"/>
      <c r="Q129"/>
    </row>
    <row r="130" spans="7:17" ht="14.4" x14ac:dyDescent="0.3">
      <c r="J130"/>
      <c r="K130"/>
      <c r="L130"/>
      <c r="M130"/>
      <c r="N130"/>
      <c r="O130"/>
      <c r="P130"/>
      <c r="Q130"/>
    </row>
    <row r="131" spans="7:17" ht="14.4" x14ac:dyDescent="0.3">
      <c r="J131"/>
      <c r="K131"/>
      <c r="L131"/>
      <c r="M131"/>
      <c r="N131"/>
      <c r="O131"/>
      <c r="P131"/>
      <c r="Q131"/>
    </row>
    <row r="132" spans="7:17" ht="14.4" x14ac:dyDescent="0.3">
      <c r="J132"/>
      <c r="K132"/>
      <c r="L132"/>
      <c r="M132"/>
      <c r="N132"/>
      <c r="O132"/>
      <c r="P132"/>
      <c r="Q132"/>
    </row>
    <row r="133" spans="7:17" ht="14.4" x14ac:dyDescent="0.3">
      <c r="J133"/>
      <c r="K133"/>
      <c r="L133"/>
      <c r="M133"/>
      <c r="N133"/>
      <c r="O133"/>
      <c r="P133"/>
      <c r="Q133"/>
    </row>
    <row r="134" spans="7:17" ht="14.4" x14ac:dyDescent="0.3">
      <c r="J134"/>
      <c r="K134"/>
      <c r="L134"/>
      <c r="M134"/>
      <c r="N134"/>
      <c r="O134"/>
      <c r="P134"/>
      <c r="Q134"/>
    </row>
    <row r="135" spans="7:17" ht="14.4" x14ac:dyDescent="0.3">
      <c r="J135"/>
      <c r="K135"/>
      <c r="L135"/>
      <c r="M135"/>
      <c r="N135"/>
      <c r="O135"/>
      <c r="P135"/>
      <c r="Q135"/>
    </row>
    <row r="136" spans="7:17" ht="14.4" x14ac:dyDescent="0.3">
      <c r="J136"/>
      <c r="K136"/>
      <c r="L136"/>
      <c r="M136"/>
      <c r="N136"/>
      <c r="O136"/>
      <c r="P136"/>
      <c r="Q136"/>
    </row>
    <row r="137" spans="7:17" ht="14.4" x14ac:dyDescent="0.3">
      <c r="J137"/>
      <c r="K137"/>
      <c r="L137"/>
      <c r="M137"/>
      <c r="N137"/>
      <c r="O137"/>
      <c r="P137"/>
      <c r="Q137"/>
    </row>
    <row r="138" spans="7:17" ht="14.4" x14ac:dyDescent="0.3">
      <c r="J138"/>
      <c r="K138"/>
      <c r="L138"/>
      <c r="M138"/>
      <c r="N138"/>
      <c r="O138"/>
      <c r="P138"/>
      <c r="Q138"/>
    </row>
    <row r="139" spans="7:17" ht="14.4" x14ac:dyDescent="0.3">
      <c r="J139"/>
      <c r="K139"/>
      <c r="L139"/>
      <c r="M139"/>
      <c r="N139"/>
      <c r="O139"/>
      <c r="P139"/>
      <c r="Q139"/>
    </row>
    <row r="140" spans="7:17" ht="14.4" x14ac:dyDescent="0.3">
      <c r="J140"/>
      <c r="K140"/>
      <c r="L140"/>
      <c r="M140"/>
      <c r="N140"/>
      <c r="O140"/>
      <c r="P140"/>
      <c r="Q140"/>
    </row>
    <row r="141" spans="7:17" ht="14.4" x14ac:dyDescent="0.3">
      <c r="J141"/>
      <c r="K141"/>
      <c r="L141"/>
      <c r="M141"/>
      <c r="N141"/>
      <c r="O141"/>
      <c r="P141"/>
      <c r="Q141"/>
    </row>
    <row r="142" spans="7:17" ht="14.4" x14ac:dyDescent="0.3">
      <c r="J142"/>
      <c r="K142"/>
      <c r="L142"/>
      <c r="M142"/>
      <c r="N142"/>
      <c r="O142"/>
      <c r="P142"/>
      <c r="Q142"/>
    </row>
    <row r="143" spans="7:17" ht="14.4" x14ac:dyDescent="0.3">
      <c r="J143"/>
      <c r="K143"/>
      <c r="L143"/>
      <c r="M143"/>
      <c r="N143"/>
      <c r="O143"/>
      <c r="P143"/>
      <c r="Q143"/>
    </row>
    <row r="144" spans="7:17" ht="14.4" x14ac:dyDescent="0.3">
      <c r="G144" s="8"/>
      <c r="H144" s="8"/>
      <c r="J144"/>
      <c r="K144"/>
      <c r="L144"/>
      <c r="M144"/>
      <c r="N144"/>
      <c r="O144"/>
      <c r="P144"/>
      <c r="Q144"/>
    </row>
    <row r="145" spans="7:17" ht="14.4" x14ac:dyDescent="0.3">
      <c r="G145" s="8"/>
      <c r="H145" s="8"/>
      <c r="J145"/>
      <c r="K145"/>
      <c r="L145"/>
      <c r="M145"/>
      <c r="N145"/>
      <c r="O145"/>
      <c r="P145"/>
      <c r="Q145"/>
    </row>
    <row r="146" spans="7:17" ht="14.4" x14ac:dyDescent="0.3">
      <c r="G146" s="8"/>
      <c r="H146" s="8"/>
      <c r="J146"/>
      <c r="K146"/>
      <c r="L146"/>
      <c r="M146"/>
      <c r="N146"/>
      <c r="O146"/>
      <c r="P146"/>
      <c r="Q146"/>
    </row>
    <row r="147" spans="7:17" ht="14.4" x14ac:dyDescent="0.3">
      <c r="G147" s="8"/>
      <c r="H147" s="8"/>
      <c r="J147"/>
      <c r="K147"/>
      <c r="L147"/>
      <c r="M147"/>
      <c r="N147"/>
      <c r="O147"/>
      <c r="P147"/>
      <c r="Q147"/>
    </row>
    <row r="148" spans="7:17" ht="14.4" x14ac:dyDescent="0.3">
      <c r="G148" s="8"/>
      <c r="H148" s="8"/>
      <c r="J148"/>
      <c r="K148"/>
      <c r="L148"/>
      <c r="M148"/>
      <c r="N148"/>
      <c r="O148"/>
      <c r="P148"/>
      <c r="Q148"/>
    </row>
    <row r="149" spans="7:17" ht="14.4" x14ac:dyDescent="0.3">
      <c r="G149" s="8"/>
      <c r="H149" s="8"/>
      <c r="J149"/>
      <c r="K149"/>
      <c r="L149"/>
      <c r="M149"/>
      <c r="N149"/>
      <c r="O149"/>
      <c r="P149"/>
      <c r="Q149"/>
    </row>
    <row r="150" spans="7:17" ht="14.4" x14ac:dyDescent="0.3">
      <c r="G150" s="8"/>
      <c r="H150" s="8"/>
      <c r="J150"/>
      <c r="K150"/>
      <c r="L150"/>
      <c r="M150"/>
      <c r="N150"/>
      <c r="O150"/>
      <c r="P150"/>
      <c r="Q150"/>
    </row>
    <row r="151" spans="7:17" ht="14.4" x14ac:dyDescent="0.3">
      <c r="G151" s="8"/>
      <c r="H151" s="8"/>
      <c r="J151"/>
      <c r="K151"/>
      <c r="L151"/>
      <c r="M151"/>
      <c r="N151"/>
      <c r="O151"/>
      <c r="P151"/>
      <c r="Q151"/>
    </row>
    <row r="152" spans="7:17" ht="14.4" x14ac:dyDescent="0.3">
      <c r="G152" s="8"/>
      <c r="H152" s="8"/>
      <c r="J152"/>
      <c r="K152"/>
      <c r="L152"/>
      <c r="M152"/>
      <c r="N152"/>
      <c r="O152"/>
      <c r="P152"/>
      <c r="Q152"/>
    </row>
    <row r="153" spans="7:17" ht="14.4" x14ac:dyDescent="0.3">
      <c r="G153" s="8"/>
      <c r="H153" s="8"/>
      <c r="J153"/>
      <c r="K153"/>
      <c r="L153"/>
      <c r="M153"/>
      <c r="N153"/>
      <c r="O153"/>
      <c r="P153"/>
      <c r="Q153"/>
    </row>
    <row r="154" spans="7:17" ht="14.4" x14ac:dyDescent="0.3">
      <c r="J154"/>
      <c r="K154"/>
      <c r="L154"/>
      <c r="M154"/>
      <c r="N154"/>
      <c r="O154"/>
      <c r="P154"/>
      <c r="Q154"/>
    </row>
    <row r="155" spans="7:17" ht="14.4" x14ac:dyDescent="0.3">
      <c r="J155"/>
      <c r="K155"/>
      <c r="L155"/>
      <c r="M155"/>
      <c r="N155"/>
      <c r="O155"/>
      <c r="P155"/>
      <c r="Q155"/>
    </row>
    <row r="156" spans="7:17" ht="14.4" x14ac:dyDescent="0.3">
      <c r="J156"/>
      <c r="K156"/>
      <c r="L156"/>
      <c r="M156"/>
      <c r="N156"/>
      <c r="O156"/>
      <c r="P156"/>
      <c r="Q156"/>
    </row>
    <row r="157" spans="7:17" ht="14.4" x14ac:dyDescent="0.3">
      <c r="J157"/>
      <c r="K157"/>
      <c r="L157"/>
      <c r="M157"/>
      <c r="N157"/>
      <c r="O157"/>
      <c r="P157"/>
      <c r="Q157"/>
    </row>
    <row r="158" spans="7:17" ht="14.4" x14ac:dyDescent="0.3">
      <c r="J158"/>
      <c r="K158"/>
      <c r="L158"/>
      <c r="M158"/>
      <c r="N158"/>
      <c r="O158"/>
      <c r="P158"/>
      <c r="Q158"/>
    </row>
    <row r="159" spans="7:17" ht="14.4" x14ac:dyDescent="0.3">
      <c r="J159"/>
      <c r="K159"/>
      <c r="L159"/>
      <c r="M159"/>
      <c r="N159"/>
      <c r="O159"/>
      <c r="P159"/>
      <c r="Q159"/>
    </row>
    <row r="160" spans="7:17" ht="14.4" x14ac:dyDescent="0.3">
      <c r="J160"/>
      <c r="K160"/>
      <c r="L160"/>
      <c r="M160"/>
      <c r="N160"/>
      <c r="O160"/>
      <c r="P160"/>
      <c r="Q160"/>
    </row>
    <row r="161" spans="10:17" ht="14.4" x14ac:dyDescent="0.3">
      <c r="J161"/>
      <c r="K161"/>
      <c r="L161"/>
      <c r="M161"/>
      <c r="N161"/>
      <c r="O161"/>
      <c r="P161"/>
      <c r="Q161"/>
    </row>
    <row r="162" spans="10:17" ht="14.4" x14ac:dyDescent="0.3">
      <c r="J162"/>
      <c r="K162"/>
      <c r="L162"/>
      <c r="M162"/>
      <c r="N162"/>
      <c r="O162"/>
      <c r="P162"/>
      <c r="Q162"/>
    </row>
    <row r="163" spans="10:17" ht="14.4" x14ac:dyDescent="0.3">
      <c r="J163"/>
      <c r="K163"/>
      <c r="L163"/>
      <c r="M163"/>
      <c r="N163"/>
      <c r="O163"/>
      <c r="P163"/>
      <c r="Q163"/>
    </row>
    <row r="164" spans="10:17" ht="14.4" x14ac:dyDescent="0.3">
      <c r="J164"/>
      <c r="K164"/>
      <c r="L164"/>
      <c r="M164"/>
      <c r="N164"/>
      <c r="O164"/>
      <c r="P164"/>
      <c r="Q164"/>
    </row>
    <row r="165" spans="10:17" ht="14.4" x14ac:dyDescent="0.3">
      <c r="J165"/>
      <c r="K165"/>
      <c r="L165"/>
      <c r="M165"/>
      <c r="N165"/>
      <c r="O165"/>
      <c r="P165"/>
      <c r="Q165"/>
    </row>
    <row r="166" spans="10:17" ht="14.4" x14ac:dyDescent="0.3">
      <c r="J166"/>
      <c r="K166"/>
      <c r="L166"/>
      <c r="M166"/>
      <c r="N166"/>
      <c r="O166"/>
      <c r="P166"/>
      <c r="Q166"/>
    </row>
    <row r="167" spans="10:17" ht="14.4" x14ac:dyDescent="0.3">
      <c r="J167"/>
      <c r="K167"/>
      <c r="L167"/>
      <c r="M167"/>
      <c r="N167"/>
      <c r="O167"/>
      <c r="P167"/>
      <c r="Q167"/>
    </row>
    <row r="168" spans="10:17" ht="14.4" x14ac:dyDescent="0.3">
      <c r="J168"/>
      <c r="K168"/>
      <c r="L168"/>
      <c r="M168"/>
      <c r="N168"/>
      <c r="O168"/>
      <c r="P168"/>
      <c r="Q168"/>
    </row>
    <row r="169" spans="10:17" ht="14.4" x14ac:dyDescent="0.3">
      <c r="J169"/>
      <c r="K169"/>
      <c r="L169"/>
      <c r="M169"/>
      <c r="N169"/>
      <c r="O169"/>
      <c r="P169"/>
      <c r="Q169"/>
    </row>
    <row r="170" spans="10:17" ht="14.4" x14ac:dyDescent="0.3">
      <c r="J170"/>
      <c r="K170"/>
      <c r="L170"/>
      <c r="M170"/>
      <c r="N170"/>
      <c r="O170"/>
      <c r="P170"/>
      <c r="Q170"/>
    </row>
    <row r="171" spans="10:17" ht="14.4" x14ac:dyDescent="0.3">
      <c r="J171"/>
      <c r="K171"/>
      <c r="L171"/>
      <c r="M171"/>
      <c r="N171"/>
      <c r="O171"/>
      <c r="P171"/>
      <c r="Q171"/>
    </row>
    <row r="172" spans="10:17" ht="14.4" x14ac:dyDescent="0.3">
      <c r="J172"/>
      <c r="K172"/>
      <c r="L172"/>
      <c r="M172"/>
      <c r="N172"/>
      <c r="O172"/>
      <c r="P172"/>
      <c r="Q172"/>
    </row>
    <row r="173" spans="10:17" ht="14.4" x14ac:dyDescent="0.3">
      <c r="J173"/>
      <c r="K173"/>
      <c r="L173"/>
      <c r="M173"/>
      <c r="N173"/>
      <c r="O173"/>
      <c r="P173"/>
      <c r="Q173"/>
    </row>
    <row r="174" spans="10:17" ht="14.4" x14ac:dyDescent="0.3">
      <c r="J174"/>
      <c r="K174"/>
      <c r="L174"/>
      <c r="M174"/>
      <c r="N174"/>
      <c r="O174"/>
      <c r="P174"/>
      <c r="Q174"/>
    </row>
    <row r="175" spans="10:17" ht="14.4" x14ac:dyDescent="0.3">
      <c r="J175"/>
      <c r="K175"/>
      <c r="L175"/>
      <c r="M175"/>
      <c r="N175"/>
      <c r="O175"/>
      <c r="P175"/>
      <c r="Q175"/>
    </row>
    <row r="176" spans="10:17" ht="14.4" x14ac:dyDescent="0.3">
      <c r="J176"/>
      <c r="K176"/>
      <c r="L176"/>
      <c r="M176"/>
      <c r="N176"/>
      <c r="O176"/>
      <c r="P176"/>
      <c r="Q176"/>
    </row>
    <row r="177" spans="10:17" ht="14.4" x14ac:dyDescent="0.3">
      <c r="J177"/>
      <c r="K177"/>
      <c r="L177"/>
      <c r="M177"/>
      <c r="N177"/>
      <c r="O177"/>
      <c r="P177"/>
      <c r="Q177"/>
    </row>
    <row r="178" spans="10:17" ht="14.4" x14ac:dyDescent="0.3">
      <c r="J178"/>
      <c r="K178"/>
      <c r="L178"/>
      <c r="M178"/>
      <c r="N178"/>
      <c r="O178"/>
      <c r="P178"/>
      <c r="Q178"/>
    </row>
    <row r="179" spans="10:17" ht="14.4" x14ac:dyDescent="0.3">
      <c r="J179"/>
      <c r="K179"/>
      <c r="L179"/>
      <c r="M179"/>
      <c r="N179"/>
      <c r="O179"/>
      <c r="P179"/>
      <c r="Q179"/>
    </row>
    <row r="180" spans="10:17" ht="14.4" x14ac:dyDescent="0.3">
      <c r="J180"/>
      <c r="K180"/>
      <c r="L180"/>
      <c r="M180"/>
      <c r="N180"/>
      <c r="O180"/>
      <c r="P180"/>
      <c r="Q180"/>
    </row>
    <row r="181" spans="10:17" ht="14.4" x14ac:dyDescent="0.3">
      <c r="J181"/>
      <c r="K181"/>
      <c r="L181"/>
      <c r="M181"/>
      <c r="N181"/>
      <c r="O181"/>
      <c r="P181"/>
      <c r="Q181"/>
    </row>
    <row r="182" spans="10:17" ht="14.4" x14ac:dyDescent="0.3">
      <c r="J182"/>
      <c r="K182"/>
      <c r="L182"/>
      <c r="M182"/>
      <c r="N182"/>
      <c r="O182"/>
      <c r="P182"/>
      <c r="Q182"/>
    </row>
    <row r="183" spans="10:17" ht="14.4" x14ac:dyDescent="0.3">
      <c r="J183"/>
      <c r="K183"/>
      <c r="L183"/>
      <c r="M183"/>
      <c r="N183"/>
      <c r="O183"/>
      <c r="P183"/>
      <c r="Q183"/>
    </row>
    <row r="184" spans="10:17" ht="14.4" x14ac:dyDescent="0.3">
      <c r="J184"/>
      <c r="K184"/>
      <c r="L184"/>
      <c r="M184"/>
      <c r="N184"/>
      <c r="O184"/>
      <c r="P184"/>
      <c r="Q184"/>
    </row>
    <row r="185" spans="10:17" ht="14.4" x14ac:dyDescent="0.3">
      <c r="J185"/>
      <c r="K185"/>
      <c r="L185"/>
      <c r="M185"/>
      <c r="N185"/>
      <c r="O185"/>
      <c r="P185"/>
      <c r="Q185"/>
    </row>
    <row r="186" spans="10:17" ht="14.4" x14ac:dyDescent="0.3">
      <c r="J186"/>
      <c r="K186"/>
      <c r="L186"/>
      <c r="M186"/>
      <c r="N186"/>
      <c r="O186"/>
      <c r="P186"/>
      <c r="Q186"/>
    </row>
    <row r="187" spans="10:17" ht="14.4" x14ac:dyDescent="0.3">
      <c r="J187"/>
      <c r="K187"/>
      <c r="L187"/>
      <c r="M187"/>
      <c r="N187"/>
      <c r="O187"/>
      <c r="P187"/>
      <c r="Q187"/>
    </row>
    <row r="188" spans="10:17" ht="14.4" x14ac:dyDescent="0.3">
      <c r="J188"/>
      <c r="K188"/>
      <c r="L188"/>
      <c r="M188"/>
      <c r="N188"/>
      <c r="O188"/>
      <c r="P188"/>
      <c r="Q188"/>
    </row>
    <row r="189" spans="10:17" ht="14.4" x14ac:dyDescent="0.3">
      <c r="J189"/>
      <c r="K189"/>
      <c r="L189"/>
      <c r="M189"/>
      <c r="N189"/>
      <c r="O189"/>
      <c r="P189"/>
      <c r="Q189"/>
    </row>
    <row r="190" spans="10:17" ht="14.4" x14ac:dyDescent="0.3">
      <c r="J190"/>
      <c r="K190"/>
      <c r="L190"/>
      <c r="M190"/>
      <c r="N190"/>
      <c r="O190"/>
      <c r="P190"/>
      <c r="Q190"/>
    </row>
    <row r="191" spans="10:17" ht="14.4" x14ac:dyDescent="0.3">
      <c r="J191"/>
      <c r="K191"/>
      <c r="L191"/>
      <c r="M191"/>
      <c r="N191"/>
      <c r="O191"/>
      <c r="P191"/>
      <c r="Q191"/>
    </row>
    <row r="192" spans="10:17" ht="14.4" x14ac:dyDescent="0.3">
      <c r="J192"/>
      <c r="K192"/>
      <c r="L192"/>
      <c r="M192"/>
      <c r="N192"/>
      <c r="O192"/>
      <c r="P192"/>
      <c r="Q192"/>
    </row>
    <row r="193" spans="10:17" ht="14.4" x14ac:dyDescent="0.3">
      <c r="J193"/>
      <c r="K193"/>
      <c r="L193"/>
      <c r="M193"/>
      <c r="N193"/>
      <c r="O193"/>
      <c r="P193"/>
      <c r="Q193"/>
    </row>
    <row r="194" spans="10:17" ht="14.4" x14ac:dyDescent="0.3">
      <c r="J194"/>
      <c r="K194"/>
      <c r="L194"/>
      <c r="M194"/>
      <c r="N194"/>
      <c r="O194"/>
      <c r="P194"/>
      <c r="Q194"/>
    </row>
    <row r="195" spans="10:17" ht="14.4" x14ac:dyDescent="0.3">
      <c r="J195"/>
      <c r="K195"/>
      <c r="L195"/>
      <c r="M195"/>
      <c r="N195"/>
      <c r="O195"/>
      <c r="P195"/>
      <c r="Q195"/>
    </row>
    <row r="196" spans="10:17" ht="14.4" x14ac:dyDescent="0.3">
      <c r="J196"/>
      <c r="K196"/>
      <c r="L196"/>
      <c r="M196"/>
      <c r="N196"/>
      <c r="O196"/>
      <c r="P196"/>
      <c r="Q196"/>
    </row>
    <row r="197" spans="10:17" ht="14.4" x14ac:dyDescent="0.3">
      <c r="J197"/>
      <c r="K197"/>
      <c r="L197"/>
      <c r="M197"/>
      <c r="N197"/>
      <c r="O197"/>
      <c r="P197"/>
    </row>
    <row r="198" spans="10:17" ht="14.4" x14ac:dyDescent="0.3">
      <c r="J198"/>
      <c r="K198"/>
      <c r="L198"/>
      <c r="M198"/>
      <c r="N198"/>
      <c r="O198"/>
      <c r="P198"/>
    </row>
    <row r="199" spans="10:17" ht="14.4" x14ac:dyDescent="0.3">
      <c r="J199"/>
      <c r="K199"/>
      <c r="L199"/>
      <c r="M199"/>
      <c r="N199"/>
      <c r="O199"/>
      <c r="P199"/>
    </row>
    <row r="200" spans="10:17" ht="14.4" x14ac:dyDescent="0.3">
      <c r="J200"/>
      <c r="K200"/>
      <c r="L200"/>
      <c r="M200"/>
      <c r="N200"/>
      <c r="O200"/>
      <c r="P200"/>
    </row>
    <row r="201" spans="10:17" ht="14.4" x14ac:dyDescent="0.3">
      <c r="J201"/>
      <c r="K201"/>
      <c r="L201"/>
      <c r="M201"/>
      <c r="N201"/>
      <c r="O201"/>
      <c r="P201"/>
    </row>
    <row r="202" spans="10:17" ht="14.4" x14ac:dyDescent="0.3">
      <c r="J202"/>
      <c r="K202"/>
      <c r="L202"/>
      <c r="M202"/>
      <c r="N202"/>
      <c r="O202"/>
      <c r="P202"/>
    </row>
    <row r="203" spans="10:17" ht="14.4" x14ac:dyDescent="0.3">
      <c r="J203"/>
      <c r="K203"/>
      <c r="L203"/>
      <c r="M203"/>
      <c r="N203"/>
      <c r="O203"/>
      <c r="P203"/>
    </row>
    <row r="204" spans="10:17" ht="14.4" x14ac:dyDescent="0.3">
      <c r="J204"/>
      <c r="K204"/>
      <c r="L204"/>
      <c r="M204"/>
      <c r="N204"/>
      <c r="O204"/>
      <c r="P204"/>
    </row>
    <row r="205" spans="10:17" ht="14.4" x14ac:dyDescent="0.3">
      <c r="J205"/>
      <c r="K205"/>
      <c r="L205"/>
      <c r="M205"/>
      <c r="N205"/>
      <c r="O205"/>
      <c r="P205"/>
    </row>
    <row r="206" spans="10:17" ht="14.4" x14ac:dyDescent="0.3">
      <c r="J206"/>
      <c r="K206"/>
      <c r="L206"/>
      <c r="M206"/>
      <c r="N206"/>
      <c r="O206"/>
      <c r="P206"/>
    </row>
    <row r="207" spans="10:17" ht="14.4" x14ac:dyDescent="0.3">
      <c r="J207"/>
    </row>
    <row r="208" spans="10:17" ht="14.4" x14ac:dyDescent="0.3">
      <c r="J208"/>
    </row>
    <row r="209" spans="10:10" ht="14.4" x14ac:dyDescent="0.3">
      <c r="J209"/>
    </row>
    <row r="210" spans="10:10" ht="14.4" x14ac:dyDescent="0.3">
      <c r="J210"/>
    </row>
    <row r="211" spans="10:10" ht="14.4" x14ac:dyDescent="0.3">
      <c r="J211"/>
    </row>
    <row r="212" spans="10:10" ht="14.4" x14ac:dyDescent="0.3">
      <c r="J212"/>
    </row>
    <row r="213" spans="10:10" ht="14.4" x14ac:dyDescent="0.3">
      <c r="J213"/>
    </row>
    <row r="214" spans="10:10" ht="14.4" x14ac:dyDescent="0.3">
      <c r="J214"/>
    </row>
    <row r="215" spans="10:10" ht="14.4" x14ac:dyDescent="0.3">
      <c r="J215"/>
    </row>
    <row r="216" spans="10:10" ht="14.4" x14ac:dyDescent="0.3">
      <c r="J216"/>
    </row>
    <row r="217" spans="10:10" ht="14.4" x14ac:dyDescent="0.3">
      <c r="J217"/>
    </row>
    <row r="218" spans="10:10" ht="14.4" x14ac:dyDescent="0.3">
      <c r="J218"/>
    </row>
    <row r="219" spans="10:10" ht="14.4" x14ac:dyDescent="0.3">
      <c r="J219"/>
    </row>
    <row r="220" spans="10:10" ht="14.4" x14ac:dyDescent="0.3">
      <c r="J220"/>
    </row>
  </sheetData>
  <conditionalFormatting pivot="1" sqref="L30 L10 L14 L11 L13 L12 L15 L16 L18 L17 L29 L19 L20 L32 L22 L39 L27 L21 L26 L24 L36 L31 L34 L23 L40 L43 L38 L41 L33 L37 L42 L25 L44 L47 L49 L28 L46 L35 L68 L50 L48 L63 L52 L53 L54 L55 L56 L57 L58 L45 L60 L61 L62 L59 L64 L65 L66 L67 L51 L72 L70 L76 L83 L82 L78 L80 L77 L73 L79 L74 L81 L75 L69 L71 L85 L86 L88 L87 L89 L84 L90">
    <cfRule type="dataBar" priority="1">
      <dataBar>
        <cfvo type="min"/>
        <cfvo type="max"/>
        <color rgb="FFC0EAD5"/>
      </dataBar>
      <extLst>
        <ext xmlns:x14="http://schemas.microsoft.com/office/spreadsheetml/2009/9/main" uri="{B025F937-C7B1-47D3-B67F-A62EFF666E3E}">
          <x14:id>{2606055E-3F49-4788-B689-D0A80D935ED0}</x14:id>
        </ext>
      </extLst>
    </cfRule>
  </conditionalFormatting>
  <printOptions horizontalCentered="1"/>
  <pageMargins left="0.39370078740157483" right="0.39370078740157483" top="0.23622047244094491" bottom="0.39370078740157483" header="0.19685039370078741" footer="0.19685039370078741"/>
  <pageSetup paperSize="9" scale="41" orientation="portrait" r:id="rId2"/>
  <headerFooter>
    <oddFooter>&amp;L&amp;"-,курсив"&amp;9&amp;K03+039&amp;F &amp;D &amp;T&amp;R&amp;10&amp;K03+039стр. &amp;P/&amp;N</oddFooter>
  </headerFooter>
  <drawing r:id="rId3"/>
  <tableParts count="1">
    <tablePart r:id="rId4"/>
  </tableParts>
  <extLst>
    <ext xmlns:x14="http://schemas.microsoft.com/office/spreadsheetml/2009/9/main" uri="{78C0D931-6437-407d-A8EE-F0AAD7539E65}">
      <x14:conditionalFormattings>
        <x14:conditionalFormatting xmlns:xm="http://schemas.microsoft.com/office/excel/2006/main" pivot="1">
          <x14:cfRule type="dataBar" id="{2606055E-3F49-4788-B689-D0A80D935ED0}">
            <x14:dataBar minLength="0" maxLength="100" gradient="0" axisPosition="middle">
              <x14:cfvo type="autoMin"/>
              <x14:cfvo type="autoMax"/>
              <x14:negativeFillColor rgb="FFFDB7B5"/>
              <x14:axisColor theme="0" tint="0.59999389629810485"/>
            </x14:dataBar>
          </x14:cfRule>
          <xm:sqref>L30 L10 L14 L11 L13 L12 L15 L16 L18 L17 L29 L19 L20 L32 L22 L39 L27 L21 L26 L24 L36 L31 L34 L23 L40 L43 L38 L41 L33 L37 L42 L25 L44 L47 L49 L28 L46 L35 L68 L50 L48 L63 L52 L53 L54 L55 L56 L57 L58 L45 L60 L61 L62 L59 L64 L65 L66 L67 L51 L72 L70 L76 L83 L82 L78 L80 L77 L73 L79 L74 L81 L75 L69 L71 L85 L86 L88 L87 L89 L84 L90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FDA738-F698-481C-B8A0-291EFB685E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AttestDinamic</vt:lpstr>
      <vt:lpstr>AttestDinamic!Заголовки_для_печати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РАХС - АСД</dc:creator>
  <cp:lastModifiedBy>РАХС - АСД</cp:lastModifiedBy>
  <dcterms:created xsi:type="dcterms:W3CDTF">2026-05-15T13:07:33Z</dcterms:created>
  <dcterms:modified xsi:type="dcterms:W3CDTF">2026-05-15T13:09:57Z</dcterms:modified>
</cp:coreProperties>
</file>